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8c8127798edb3a8/Escritorio/ESCOM/8 SEMESTRE/COMPUTO PARALELO/PRACTICAS/PRIMER AVANCE PROYECTO/"/>
    </mc:Choice>
  </mc:AlternateContent>
  <xr:revisionPtr revIDLastSave="92" documentId="8_{9F6939F8-5948-4B9A-A33E-03860D375444}" xr6:coauthVersionLast="47" xr6:coauthVersionMax="47" xr10:uidLastSave="{39C69829-1082-4E86-8850-EFA96DCB7973}"/>
  <bookViews>
    <workbookView xWindow="-108" yWindow="-108" windowWidth="23256" windowHeight="12456" xr2:uid="{00000000-000D-0000-FFFF-FFFF00000000}"/>
  </bookViews>
  <sheets>
    <sheet name="Grafica original y comparacion" sheetId="1" r:id="rId1"/>
    <sheet name="Fouri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B5" i="2"/>
  <c r="BB6" i="2"/>
  <c r="BB7" i="2"/>
  <c r="BB8" i="2"/>
  <c r="BB9" i="2"/>
  <c r="BB10" i="2"/>
  <c r="BB11" i="2"/>
  <c r="BB12" i="2"/>
  <c r="BB13" i="2"/>
  <c r="BB14" i="2"/>
  <c r="BB15" i="2"/>
  <c r="BB16" i="2"/>
  <c r="BB17" i="2"/>
  <c r="BB18" i="2"/>
  <c r="BB19" i="2"/>
  <c r="BB20" i="2"/>
  <c r="BB21" i="2"/>
  <c r="BB22" i="2"/>
  <c r="BB23" i="2"/>
  <c r="BB24" i="2"/>
  <c r="BB25" i="2"/>
  <c r="BB26" i="2"/>
  <c r="BB27" i="2"/>
  <c r="BB28" i="2"/>
  <c r="BB29" i="2"/>
  <c r="BB30" i="2"/>
  <c r="BB31" i="2"/>
  <c r="BB32" i="2"/>
  <c r="BB33" i="2"/>
  <c r="BB34" i="2"/>
  <c r="BB35" i="2"/>
  <c r="BB36" i="2"/>
  <c r="BB37" i="2"/>
  <c r="BB38" i="2"/>
  <c r="BB39" i="2"/>
  <c r="BB40" i="2"/>
  <c r="BB41" i="2"/>
  <c r="BB42" i="2"/>
  <c r="BB43" i="2"/>
  <c r="BB44" i="2"/>
  <c r="BB45" i="2"/>
  <c r="BB46" i="2"/>
  <c r="BB47" i="2"/>
  <c r="BB48" i="2"/>
  <c r="BB49" i="2"/>
  <c r="BB50" i="2"/>
  <c r="BB51" i="2"/>
  <c r="BB52" i="2"/>
  <c r="BB53" i="2"/>
  <c r="BB54" i="2"/>
  <c r="BB55" i="2"/>
  <c r="BB56" i="2"/>
  <c r="BB57" i="2"/>
  <c r="BB58" i="2"/>
  <c r="BB59" i="2"/>
  <c r="BB60" i="2"/>
  <c r="BB61" i="2"/>
  <c r="BB62" i="2"/>
  <c r="BB63" i="2"/>
  <c r="BB64" i="2"/>
  <c r="BB65" i="2"/>
  <c r="BB66" i="2"/>
  <c r="BB67" i="2"/>
  <c r="BB68" i="2"/>
  <c r="AZ6" i="2"/>
  <c r="AZ7" i="2"/>
  <c r="AZ8" i="2"/>
  <c r="AZ9" i="2"/>
  <c r="AZ10" i="2"/>
  <c r="AZ11" i="2"/>
  <c r="AZ12" i="2"/>
  <c r="AZ13" i="2"/>
  <c r="AZ14" i="2"/>
  <c r="AZ15" i="2"/>
  <c r="AZ16" i="2"/>
  <c r="AZ17" i="2"/>
  <c r="AZ18" i="2"/>
  <c r="AZ19" i="2"/>
  <c r="AZ20" i="2"/>
  <c r="AZ21" i="2"/>
  <c r="AZ22" i="2"/>
  <c r="AZ23" i="2"/>
  <c r="AZ24" i="2"/>
  <c r="AZ25" i="2"/>
  <c r="AZ26" i="2"/>
  <c r="AZ27" i="2"/>
  <c r="AZ28" i="2"/>
  <c r="AZ29" i="2"/>
  <c r="AZ30" i="2"/>
  <c r="AZ31" i="2"/>
  <c r="AZ32" i="2"/>
  <c r="AZ33" i="2"/>
  <c r="AZ34" i="2"/>
  <c r="AZ35" i="2"/>
  <c r="AZ36" i="2"/>
  <c r="AZ37" i="2"/>
  <c r="AZ38" i="2"/>
  <c r="AZ39" i="2"/>
  <c r="AZ40" i="2"/>
  <c r="AZ41" i="2"/>
  <c r="AZ42" i="2"/>
  <c r="AZ43" i="2"/>
  <c r="AZ44" i="2"/>
  <c r="AZ45" i="2"/>
  <c r="AZ46" i="2"/>
  <c r="AZ47" i="2"/>
  <c r="AZ48" i="2"/>
  <c r="AZ49" i="2"/>
  <c r="AZ50" i="2"/>
  <c r="AZ51" i="2"/>
  <c r="AZ52" i="2"/>
  <c r="AZ53" i="2"/>
  <c r="AZ54" i="2"/>
  <c r="AZ55" i="2"/>
  <c r="AZ56" i="2"/>
  <c r="AZ57" i="2"/>
  <c r="AZ58" i="2"/>
  <c r="AZ59" i="2"/>
  <c r="AZ60" i="2"/>
  <c r="AZ61" i="2"/>
  <c r="AZ62" i="2"/>
  <c r="AZ63" i="2"/>
  <c r="AZ64" i="2"/>
  <c r="AZ65" i="2"/>
  <c r="AZ66" i="2"/>
  <c r="AZ67" i="2"/>
  <c r="AZ68" i="2"/>
  <c r="A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AP5" i="2"/>
  <c r="AQ5" i="2"/>
  <c r="AR5" i="2"/>
  <c r="AS5" i="2"/>
  <c r="AT5" i="2"/>
  <c r="AU5" i="2"/>
  <c r="AV5" i="2"/>
  <c r="AW5" i="2"/>
  <c r="AX5" i="2"/>
  <c r="AY5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AQ6" i="2"/>
  <c r="AR6" i="2"/>
  <c r="AS6" i="2"/>
  <c r="AT6" i="2"/>
  <c r="AU6" i="2"/>
  <c r="AV6" i="2"/>
  <c r="AW6" i="2"/>
  <c r="AX6" i="2"/>
  <c r="AY6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AP7" i="2"/>
  <c r="AQ7" i="2"/>
  <c r="AR7" i="2"/>
  <c r="AS7" i="2"/>
  <c r="AT7" i="2"/>
  <c r="AU7" i="2"/>
  <c r="AV7" i="2"/>
  <c r="AW7" i="2"/>
  <c r="AX7" i="2"/>
  <c r="AY7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AQ8" i="2"/>
  <c r="AR8" i="2"/>
  <c r="AS8" i="2"/>
  <c r="AT8" i="2"/>
  <c r="AU8" i="2"/>
  <c r="AV8" i="2"/>
  <c r="AW8" i="2"/>
  <c r="AX8" i="2"/>
  <c r="AY8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AT9" i="2"/>
  <c r="AU9" i="2"/>
  <c r="AV9" i="2"/>
  <c r="AW9" i="2"/>
  <c r="AX9" i="2"/>
  <c r="AY9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AX10" i="2"/>
  <c r="AY10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AQ11" i="2"/>
  <c r="AR11" i="2"/>
  <c r="AS11" i="2"/>
  <c r="AT11" i="2"/>
  <c r="AU11" i="2"/>
  <c r="AV11" i="2"/>
  <c r="AW11" i="2"/>
  <c r="AX11" i="2"/>
  <c r="AY11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AQ12" i="2"/>
  <c r="AR12" i="2"/>
  <c r="AS12" i="2"/>
  <c r="AT12" i="2"/>
  <c r="AU12" i="2"/>
  <c r="AV12" i="2"/>
  <c r="AW12" i="2"/>
  <c r="AX12" i="2"/>
  <c r="AY12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AQ13" i="2"/>
  <c r="AR13" i="2"/>
  <c r="AS13" i="2"/>
  <c r="AT13" i="2"/>
  <c r="AU13" i="2"/>
  <c r="AV13" i="2"/>
  <c r="AW13" i="2"/>
  <c r="AX13" i="2"/>
  <c r="AY13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AP14" i="2"/>
  <c r="AQ14" i="2"/>
  <c r="AR14" i="2"/>
  <c r="AS14" i="2"/>
  <c r="AT14" i="2"/>
  <c r="AU14" i="2"/>
  <c r="AV14" i="2"/>
  <c r="AW14" i="2"/>
  <c r="AX14" i="2"/>
  <c r="AY14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P15" i="2"/>
  <c r="AQ15" i="2"/>
  <c r="AR15" i="2"/>
  <c r="AS15" i="2"/>
  <c r="AT15" i="2"/>
  <c r="AU15" i="2"/>
  <c r="AV15" i="2"/>
  <c r="AW15" i="2"/>
  <c r="AX15" i="2"/>
  <c r="AY15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R16" i="2"/>
  <c r="AS16" i="2"/>
  <c r="AT16" i="2"/>
  <c r="AU16" i="2"/>
  <c r="AV16" i="2"/>
  <c r="AW16" i="2"/>
  <c r="AX16" i="2"/>
  <c r="AY16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AT17" i="2"/>
  <c r="AU17" i="2"/>
  <c r="AV17" i="2"/>
  <c r="AW17" i="2"/>
  <c r="AX17" i="2"/>
  <c r="AY17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AQ18" i="2"/>
  <c r="AR18" i="2"/>
  <c r="AS18" i="2"/>
  <c r="AT18" i="2"/>
  <c r="AU18" i="2"/>
  <c r="AV18" i="2"/>
  <c r="AW18" i="2"/>
  <c r="AX18" i="2"/>
  <c r="AY18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AS19" i="2"/>
  <c r="AT19" i="2"/>
  <c r="AU19" i="2"/>
  <c r="AV19" i="2"/>
  <c r="AW19" i="2"/>
  <c r="AX19" i="2"/>
  <c r="AY19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R20" i="2"/>
  <c r="AS20" i="2"/>
  <c r="AT20" i="2"/>
  <c r="AU20" i="2"/>
  <c r="AV20" i="2"/>
  <c r="AW20" i="2"/>
  <c r="AX20" i="2"/>
  <c r="AY20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R21" i="2"/>
  <c r="AS21" i="2"/>
  <c r="AT21" i="2"/>
  <c r="AU21" i="2"/>
  <c r="AV21" i="2"/>
  <c r="AW21" i="2"/>
  <c r="AX21" i="2"/>
  <c r="AY21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AQ22" i="2"/>
  <c r="AR22" i="2"/>
  <c r="AS22" i="2"/>
  <c r="AT22" i="2"/>
  <c r="AU22" i="2"/>
  <c r="AV22" i="2"/>
  <c r="AW22" i="2"/>
  <c r="AX22" i="2"/>
  <c r="AY22" i="2"/>
  <c r="AA23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AP23" i="2"/>
  <c r="AQ23" i="2"/>
  <c r="AR23" i="2"/>
  <c r="AS23" i="2"/>
  <c r="AT23" i="2"/>
  <c r="AU23" i="2"/>
  <c r="AV23" i="2"/>
  <c r="AW23" i="2"/>
  <c r="AX23" i="2"/>
  <c r="AY23" i="2"/>
  <c r="AA24" i="2"/>
  <c r="AB24" i="2"/>
  <c r="AC24" i="2"/>
  <c r="AD24" i="2"/>
  <c r="AE24" i="2"/>
  <c r="AF24" i="2"/>
  <c r="AG24" i="2"/>
  <c r="AH24" i="2"/>
  <c r="AI24" i="2"/>
  <c r="AJ24" i="2"/>
  <c r="AK24" i="2"/>
  <c r="AL24" i="2"/>
  <c r="AM24" i="2"/>
  <c r="AN24" i="2"/>
  <c r="AO24" i="2"/>
  <c r="AP24" i="2"/>
  <c r="AQ24" i="2"/>
  <c r="AR24" i="2"/>
  <c r="AS24" i="2"/>
  <c r="AT24" i="2"/>
  <c r="AU24" i="2"/>
  <c r="AV24" i="2"/>
  <c r="AW24" i="2"/>
  <c r="AX24" i="2"/>
  <c r="AY24" i="2"/>
  <c r="AA25" i="2"/>
  <c r="AB25" i="2"/>
  <c r="AC25" i="2"/>
  <c r="AD25" i="2"/>
  <c r="AE25" i="2"/>
  <c r="AF25" i="2"/>
  <c r="AG25" i="2"/>
  <c r="AH25" i="2"/>
  <c r="AI25" i="2"/>
  <c r="AJ25" i="2"/>
  <c r="AK25" i="2"/>
  <c r="AL25" i="2"/>
  <c r="AM25" i="2"/>
  <c r="AN25" i="2"/>
  <c r="AO25" i="2"/>
  <c r="AP25" i="2"/>
  <c r="AQ25" i="2"/>
  <c r="AR25" i="2"/>
  <c r="AS25" i="2"/>
  <c r="AT25" i="2"/>
  <c r="AU25" i="2"/>
  <c r="AV25" i="2"/>
  <c r="AW25" i="2"/>
  <c r="AX25" i="2"/>
  <c r="AY25" i="2"/>
  <c r="AA26" i="2"/>
  <c r="AB26" i="2"/>
  <c r="AC26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AP26" i="2"/>
  <c r="AQ26" i="2"/>
  <c r="AR26" i="2"/>
  <c r="AS26" i="2"/>
  <c r="AT26" i="2"/>
  <c r="AU26" i="2"/>
  <c r="AV26" i="2"/>
  <c r="AW26" i="2"/>
  <c r="AX26" i="2"/>
  <c r="AY26" i="2"/>
  <c r="AA27" i="2"/>
  <c r="AB27" i="2"/>
  <c r="AC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AP27" i="2"/>
  <c r="AQ27" i="2"/>
  <c r="AR27" i="2"/>
  <c r="AS27" i="2"/>
  <c r="AT27" i="2"/>
  <c r="AU27" i="2"/>
  <c r="AV27" i="2"/>
  <c r="AW27" i="2"/>
  <c r="AX27" i="2"/>
  <c r="AY27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P28" i="2"/>
  <c r="AQ28" i="2"/>
  <c r="AR28" i="2"/>
  <c r="AS28" i="2"/>
  <c r="AT28" i="2"/>
  <c r="AU28" i="2"/>
  <c r="AV28" i="2"/>
  <c r="AW28" i="2"/>
  <c r="AX28" i="2"/>
  <c r="AY28" i="2"/>
  <c r="AA29" i="2"/>
  <c r="AB29" i="2"/>
  <c r="AC29" i="2"/>
  <c r="AD29" i="2"/>
  <c r="AE29" i="2"/>
  <c r="AF29" i="2"/>
  <c r="AG29" i="2"/>
  <c r="AH29" i="2"/>
  <c r="AI29" i="2"/>
  <c r="AJ29" i="2"/>
  <c r="AK29" i="2"/>
  <c r="AL29" i="2"/>
  <c r="AM29" i="2"/>
  <c r="AN29" i="2"/>
  <c r="AO29" i="2"/>
  <c r="AP29" i="2"/>
  <c r="AQ29" i="2"/>
  <c r="AR29" i="2"/>
  <c r="AS29" i="2"/>
  <c r="AT29" i="2"/>
  <c r="AU29" i="2"/>
  <c r="AV29" i="2"/>
  <c r="AW29" i="2"/>
  <c r="AX29" i="2"/>
  <c r="AY29" i="2"/>
  <c r="AA30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AN30" i="2"/>
  <c r="AO30" i="2"/>
  <c r="AP30" i="2"/>
  <c r="AQ30" i="2"/>
  <c r="AR30" i="2"/>
  <c r="AS30" i="2"/>
  <c r="AT30" i="2"/>
  <c r="AU30" i="2"/>
  <c r="AV30" i="2"/>
  <c r="AW30" i="2"/>
  <c r="AX30" i="2"/>
  <c r="AY30" i="2"/>
  <c r="AA31" i="2"/>
  <c r="AB31" i="2"/>
  <c r="AC31" i="2"/>
  <c r="AD31" i="2"/>
  <c r="AE31" i="2"/>
  <c r="AF31" i="2"/>
  <c r="AG31" i="2"/>
  <c r="AH31" i="2"/>
  <c r="AI31" i="2"/>
  <c r="AJ31" i="2"/>
  <c r="AK31" i="2"/>
  <c r="AL31" i="2"/>
  <c r="AM31" i="2"/>
  <c r="AN31" i="2"/>
  <c r="AO31" i="2"/>
  <c r="AP31" i="2"/>
  <c r="AQ31" i="2"/>
  <c r="AR31" i="2"/>
  <c r="AS31" i="2"/>
  <c r="AT31" i="2"/>
  <c r="AU31" i="2"/>
  <c r="AV31" i="2"/>
  <c r="AW31" i="2"/>
  <c r="AX31" i="2"/>
  <c r="AY31" i="2"/>
  <c r="AA32" i="2"/>
  <c r="AB32" i="2"/>
  <c r="AC32" i="2"/>
  <c r="AD32" i="2"/>
  <c r="AE32" i="2"/>
  <c r="AF32" i="2"/>
  <c r="AG32" i="2"/>
  <c r="AH32" i="2"/>
  <c r="AI32" i="2"/>
  <c r="AJ32" i="2"/>
  <c r="AK32" i="2"/>
  <c r="AL32" i="2"/>
  <c r="AM32" i="2"/>
  <c r="AN32" i="2"/>
  <c r="AO32" i="2"/>
  <c r="AP32" i="2"/>
  <c r="AQ32" i="2"/>
  <c r="AR32" i="2"/>
  <c r="AS32" i="2"/>
  <c r="AT32" i="2"/>
  <c r="AU32" i="2"/>
  <c r="AV32" i="2"/>
  <c r="AW32" i="2"/>
  <c r="AX32" i="2"/>
  <c r="AY32" i="2"/>
  <c r="AA33" i="2"/>
  <c r="AB33" i="2"/>
  <c r="AC33" i="2"/>
  <c r="AD33" i="2"/>
  <c r="AE33" i="2"/>
  <c r="AF33" i="2"/>
  <c r="AG33" i="2"/>
  <c r="AH33" i="2"/>
  <c r="AI33" i="2"/>
  <c r="AJ33" i="2"/>
  <c r="AK33" i="2"/>
  <c r="AL33" i="2"/>
  <c r="AM33" i="2"/>
  <c r="AN33" i="2"/>
  <c r="AO33" i="2"/>
  <c r="AP33" i="2"/>
  <c r="AQ33" i="2"/>
  <c r="AR33" i="2"/>
  <c r="AS33" i="2"/>
  <c r="AT33" i="2"/>
  <c r="AU33" i="2"/>
  <c r="AV33" i="2"/>
  <c r="AW33" i="2"/>
  <c r="AX33" i="2"/>
  <c r="AY33" i="2"/>
  <c r="AA34" i="2"/>
  <c r="AB34" i="2"/>
  <c r="AC34" i="2"/>
  <c r="AD34" i="2"/>
  <c r="AE34" i="2"/>
  <c r="AF34" i="2"/>
  <c r="AG34" i="2"/>
  <c r="AH34" i="2"/>
  <c r="AI34" i="2"/>
  <c r="AJ34" i="2"/>
  <c r="AK34" i="2"/>
  <c r="AL34" i="2"/>
  <c r="AM34" i="2"/>
  <c r="AN34" i="2"/>
  <c r="AO34" i="2"/>
  <c r="AP34" i="2"/>
  <c r="AQ34" i="2"/>
  <c r="AR34" i="2"/>
  <c r="AS34" i="2"/>
  <c r="AT34" i="2"/>
  <c r="AU34" i="2"/>
  <c r="AV34" i="2"/>
  <c r="AW34" i="2"/>
  <c r="AX34" i="2"/>
  <c r="AY34" i="2"/>
  <c r="AA35" i="2"/>
  <c r="AB35" i="2"/>
  <c r="AC35" i="2"/>
  <c r="AD35" i="2"/>
  <c r="AE35" i="2"/>
  <c r="AF35" i="2"/>
  <c r="AG35" i="2"/>
  <c r="AH35" i="2"/>
  <c r="AI35" i="2"/>
  <c r="AJ35" i="2"/>
  <c r="AK35" i="2"/>
  <c r="AL35" i="2"/>
  <c r="AM35" i="2"/>
  <c r="AN35" i="2"/>
  <c r="AO35" i="2"/>
  <c r="AP35" i="2"/>
  <c r="AQ35" i="2"/>
  <c r="AR35" i="2"/>
  <c r="AS35" i="2"/>
  <c r="AT35" i="2"/>
  <c r="AU35" i="2"/>
  <c r="AV35" i="2"/>
  <c r="AW35" i="2"/>
  <c r="AX35" i="2"/>
  <c r="AY35" i="2"/>
  <c r="AA36" i="2"/>
  <c r="AB36" i="2"/>
  <c r="AC36" i="2"/>
  <c r="AD36" i="2"/>
  <c r="AE36" i="2"/>
  <c r="AF36" i="2"/>
  <c r="AG36" i="2"/>
  <c r="AH36" i="2"/>
  <c r="AI36" i="2"/>
  <c r="AJ36" i="2"/>
  <c r="AK36" i="2"/>
  <c r="AL36" i="2"/>
  <c r="AM36" i="2"/>
  <c r="AN36" i="2"/>
  <c r="AO36" i="2"/>
  <c r="AP36" i="2"/>
  <c r="AQ36" i="2"/>
  <c r="AR36" i="2"/>
  <c r="AS36" i="2"/>
  <c r="AT36" i="2"/>
  <c r="AU36" i="2"/>
  <c r="AV36" i="2"/>
  <c r="AW36" i="2"/>
  <c r="AX36" i="2"/>
  <c r="AY36" i="2"/>
  <c r="AA37" i="2"/>
  <c r="AB37" i="2"/>
  <c r="AC37" i="2"/>
  <c r="AD37" i="2"/>
  <c r="AE37" i="2"/>
  <c r="AF37" i="2"/>
  <c r="AG37" i="2"/>
  <c r="AH37" i="2"/>
  <c r="AI37" i="2"/>
  <c r="AJ37" i="2"/>
  <c r="AK37" i="2"/>
  <c r="AL37" i="2"/>
  <c r="AM37" i="2"/>
  <c r="AN37" i="2"/>
  <c r="AO37" i="2"/>
  <c r="AP37" i="2"/>
  <c r="AQ37" i="2"/>
  <c r="AR37" i="2"/>
  <c r="AS37" i="2"/>
  <c r="AT37" i="2"/>
  <c r="AU37" i="2"/>
  <c r="AV37" i="2"/>
  <c r="AW37" i="2"/>
  <c r="AX37" i="2"/>
  <c r="AY37" i="2"/>
  <c r="AA38" i="2"/>
  <c r="AB38" i="2"/>
  <c r="AC38" i="2"/>
  <c r="AD38" i="2"/>
  <c r="AE38" i="2"/>
  <c r="AF38" i="2"/>
  <c r="AG38" i="2"/>
  <c r="AH38" i="2"/>
  <c r="AI38" i="2"/>
  <c r="AJ38" i="2"/>
  <c r="AK38" i="2"/>
  <c r="AL38" i="2"/>
  <c r="AM38" i="2"/>
  <c r="AN38" i="2"/>
  <c r="AO38" i="2"/>
  <c r="AP38" i="2"/>
  <c r="AQ38" i="2"/>
  <c r="AR38" i="2"/>
  <c r="AS38" i="2"/>
  <c r="AT38" i="2"/>
  <c r="AU38" i="2"/>
  <c r="AV38" i="2"/>
  <c r="AW38" i="2"/>
  <c r="AX38" i="2"/>
  <c r="AY38" i="2"/>
  <c r="AA39" i="2"/>
  <c r="AB39" i="2"/>
  <c r="AC39" i="2"/>
  <c r="AD39" i="2"/>
  <c r="AE39" i="2"/>
  <c r="AF39" i="2"/>
  <c r="AG39" i="2"/>
  <c r="AH39" i="2"/>
  <c r="AI39" i="2"/>
  <c r="AJ39" i="2"/>
  <c r="AK39" i="2"/>
  <c r="AL39" i="2"/>
  <c r="AM39" i="2"/>
  <c r="AN39" i="2"/>
  <c r="AO39" i="2"/>
  <c r="AP39" i="2"/>
  <c r="AQ39" i="2"/>
  <c r="AR39" i="2"/>
  <c r="AS39" i="2"/>
  <c r="AT39" i="2"/>
  <c r="AU39" i="2"/>
  <c r="AV39" i="2"/>
  <c r="AW39" i="2"/>
  <c r="AX39" i="2"/>
  <c r="AY39" i="2"/>
  <c r="AA40" i="2"/>
  <c r="AB40" i="2"/>
  <c r="AC40" i="2"/>
  <c r="AD40" i="2"/>
  <c r="AE40" i="2"/>
  <c r="AF40" i="2"/>
  <c r="AG40" i="2"/>
  <c r="AH40" i="2"/>
  <c r="AI40" i="2"/>
  <c r="AJ40" i="2"/>
  <c r="AK40" i="2"/>
  <c r="AL40" i="2"/>
  <c r="AM40" i="2"/>
  <c r="AN40" i="2"/>
  <c r="AO40" i="2"/>
  <c r="AP40" i="2"/>
  <c r="AQ40" i="2"/>
  <c r="AR40" i="2"/>
  <c r="AS40" i="2"/>
  <c r="AT40" i="2"/>
  <c r="AU40" i="2"/>
  <c r="AV40" i="2"/>
  <c r="AW40" i="2"/>
  <c r="AX40" i="2"/>
  <c r="AY40" i="2"/>
  <c r="AA41" i="2"/>
  <c r="AB41" i="2"/>
  <c r="AC41" i="2"/>
  <c r="AD41" i="2"/>
  <c r="AE41" i="2"/>
  <c r="AF41" i="2"/>
  <c r="AG41" i="2"/>
  <c r="AH41" i="2"/>
  <c r="AI41" i="2"/>
  <c r="AJ41" i="2"/>
  <c r="AK41" i="2"/>
  <c r="AL41" i="2"/>
  <c r="AM41" i="2"/>
  <c r="AN41" i="2"/>
  <c r="AO41" i="2"/>
  <c r="AP41" i="2"/>
  <c r="AQ41" i="2"/>
  <c r="AR41" i="2"/>
  <c r="AS41" i="2"/>
  <c r="AT41" i="2"/>
  <c r="AU41" i="2"/>
  <c r="AV41" i="2"/>
  <c r="AW41" i="2"/>
  <c r="AX41" i="2"/>
  <c r="AY41" i="2"/>
  <c r="AA42" i="2"/>
  <c r="AB42" i="2"/>
  <c r="AC42" i="2"/>
  <c r="AD42" i="2"/>
  <c r="AE42" i="2"/>
  <c r="AF42" i="2"/>
  <c r="AG42" i="2"/>
  <c r="AH42" i="2"/>
  <c r="AI42" i="2"/>
  <c r="AJ42" i="2"/>
  <c r="AK42" i="2"/>
  <c r="AL42" i="2"/>
  <c r="AM42" i="2"/>
  <c r="AN42" i="2"/>
  <c r="AO42" i="2"/>
  <c r="AP42" i="2"/>
  <c r="AQ42" i="2"/>
  <c r="AR42" i="2"/>
  <c r="AS42" i="2"/>
  <c r="AT42" i="2"/>
  <c r="AU42" i="2"/>
  <c r="AV42" i="2"/>
  <c r="AW42" i="2"/>
  <c r="AX42" i="2"/>
  <c r="AY42" i="2"/>
  <c r="AA43" i="2"/>
  <c r="AB43" i="2"/>
  <c r="AC43" i="2"/>
  <c r="AD43" i="2"/>
  <c r="AE43" i="2"/>
  <c r="AF43" i="2"/>
  <c r="AG43" i="2"/>
  <c r="AH43" i="2"/>
  <c r="AI43" i="2"/>
  <c r="AJ43" i="2"/>
  <c r="AK43" i="2"/>
  <c r="AL43" i="2"/>
  <c r="AM43" i="2"/>
  <c r="AN43" i="2"/>
  <c r="AO43" i="2"/>
  <c r="AP43" i="2"/>
  <c r="AQ43" i="2"/>
  <c r="AR43" i="2"/>
  <c r="AS43" i="2"/>
  <c r="AT43" i="2"/>
  <c r="AU43" i="2"/>
  <c r="AV43" i="2"/>
  <c r="AW43" i="2"/>
  <c r="AX43" i="2"/>
  <c r="AY43" i="2"/>
  <c r="AA44" i="2"/>
  <c r="AB44" i="2"/>
  <c r="AC44" i="2"/>
  <c r="AD44" i="2"/>
  <c r="AE44" i="2"/>
  <c r="AF44" i="2"/>
  <c r="AG44" i="2"/>
  <c r="AH44" i="2"/>
  <c r="AI44" i="2"/>
  <c r="AJ44" i="2"/>
  <c r="AK44" i="2"/>
  <c r="AL44" i="2"/>
  <c r="AM44" i="2"/>
  <c r="AN44" i="2"/>
  <c r="AO44" i="2"/>
  <c r="AP44" i="2"/>
  <c r="AQ44" i="2"/>
  <c r="AR44" i="2"/>
  <c r="AS44" i="2"/>
  <c r="AT44" i="2"/>
  <c r="AU44" i="2"/>
  <c r="AV44" i="2"/>
  <c r="AW44" i="2"/>
  <c r="AX44" i="2"/>
  <c r="AY44" i="2"/>
  <c r="AA45" i="2"/>
  <c r="AB45" i="2"/>
  <c r="AC45" i="2"/>
  <c r="AD45" i="2"/>
  <c r="AE45" i="2"/>
  <c r="AF45" i="2"/>
  <c r="AG45" i="2"/>
  <c r="AH45" i="2"/>
  <c r="AI45" i="2"/>
  <c r="AJ45" i="2"/>
  <c r="AK45" i="2"/>
  <c r="AL45" i="2"/>
  <c r="AM45" i="2"/>
  <c r="AN45" i="2"/>
  <c r="AO45" i="2"/>
  <c r="AP45" i="2"/>
  <c r="AQ45" i="2"/>
  <c r="AR45" i="2"/>
  <c r="AS45" i="2"/>
  <c r="AT45" i="2"/>
  <c r="AU45" i="2"/>
  <c r="AV45" i="2"/>
  <c r="AW45" i="2"/>
  <c r="AX45" i="2"/>
  <c r="AY45" i="2"/>
  <c r="AA46" i="2"/>
  <c r="AB46" i="2"/>
  <c r="AC46" i="2"/>
  <c r="AD46" i="2"/>
  <c r="AE46" i="2"/>
  <c r="AF46" i="2"/>
  <c r="AG46" i="2"/>
  <c r="AH46" i="2"/>
  <c r="AI46" i="2"/>
  <c r="AJ46" i="2"/>
  <c r="AK46" i="2"/>
  <c r="AL46" i="2"/>
  <c r="AM46" i="2"/>
  <c r="AN46" i="2"/>
  <c r="AO46" i="2"/>
  <c r="AP46" i="2"/>
  <c r="AQ46" i="2"/>
  <c r="AR46" i="2"/>
  <c r="AS46" i="2"/>
  <c r="AT46" i="2"/>
  <c r="AU46" i="2"/>
  <c r="AV46" i="2"/>
  <c r="AW46" i="2"/>
  <c r="AX46" i="2"/>
  <c r="AY46" i="2"/>
  <c r="AA47" i="2"/>
  <c r="AB47" i="2"/>
  <c r="AC47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AP47" i="2"/>
  <c r="AQ47" i="2"/>
  <c r="AR47" i="2"/>
  <c r="AS47" i="2"/>
  <c r="AT47" i="2"/>
  <c r="AU47" i="2"/>
  <c r="AV47" i="2"/>
  <c r="AW47" i="2"/>
  <c r="AX47" i="2"/>
  <c r="AY47" i="2"/>
  <c r="AA48" i="2"/>
  <c r="AB48" i="2"/>
  <c r="AC48" i="2"/>
  <c r="AD48" i="2"/>
  <c r="AE48" i="2"/>
  <c r="AF48" i="2"/>
  <c r="AG48" i="2"/>
  <c r="AH48" i="2"/>
  <c r="AI48" i="2"/>
  <c r="AJ48" i="2"/>
  <c r="AK48" i="2"/>
  <c r="AL48" i="2"/>
  <c r="AM48" i="2"/>
  <c r="AN48" i="2"/>
  <c r="AO48" i="2"/>
  <c r="AP48" i="2"/>
  <c r="AQ48" i="2"/>
  <c r="AR48" i="2"/>
  <c r="AS48" i="2"/>
  <c r="AT48" i="2"/>
  <c r="AU48" i="2"/>
  <c r="AV48" i="2"/>
  <c r="AW48" i="2"/>
  <c r="AX48" i="2"/>
  <c r="AY48" i="2"/>
  <c r="AA49" i="2"/>
  <c r="AB49" i="2"/>
  <c r="AC49" i="2"/>
  <c r="AD49" i="2"/>
  <c r="AE49" i="2"/>
  <c r="AF49" i="2"/>
  <c r="AG49" i="2"/>
  <c r="AH49" i="2"/>
  <c r="AI49" i="2"/>
  <c r="AJ49" i="2"/>
  <c r="AK49" i="2"/>
  <c r="AL49" i="2"/>
  <c r="AM49" i="2"/>
  <c r="AN49" i="2"/>
  <c r="AO49" i="2"/>
  <c r="AP49" i="2"/>
  <c r="AQ49" i="2"/>
  <c r="AR49" i="2"/>
  <c r="AS49" i="2"/>
  <c r="AT49" i="2"/>
  <c r="AU49" i="2"/>
  <c r="AV49" i="2"/>
  <c r="AW49" i="2"/>
  <c r="AX49" i="2"/>
  <c r="AY49" i="2"/>
  <c r="AA50" i="2"/>
  <c r="AB50" i="2"/>
  <c r="AC50" i="2"/>
  <c r="AD50" i="2"/>
  <c r="AE50" i="2"/>
  <c r="AF50" i="2"/>
  <c r="AG50" i="2"/>
  <c r="AH50" i="2"/>
  <c r="AI50" i="2"/>
  <c r="AJ50" i="2"/>
  <c r="AK50" i="2"/>
  <c r="AL50" i="2"/>
  <c r="AM50" i="2"/>
  <c r="AN50" i="2"/>
  <c r="AO50" i="2"/>
  <c r="AP50" i="2"/>
  <c r="AQ50" i="2"/>
  <c r="AR50" i="2"/>
  <c r="AS50" i="2"/>
  <c r="AT50" i="2"/>
  <c r="AU50" i="2"/>
  <c r="AV50" i="2"/>
  <c r="AW50" i="2"/>
  <c r="AX50" i="2"/>
  <c r="AY50" i="2"/>
  <c r="AA51" i="2"/>
  <c r="AB51" i="2"/>
  <c r="AC51" i="2"/>
  <c r="AD51" i="2"/>
  <c r="AE51" i="2"/>
  <c r="AF51" i="2"/>
  <c r="AG51" i="2"/>
  <c r="AH51" i="2"/>
  <c r="AI51" i="2"/>
  <c r="AJ51" i="2"/>
  <c r="AK51" i="2"/>
  <c r="AL51" i="2"/>
  <c r="AM51" i="2"/>
  <c r="AN51" i="2"/>
  <c r="AO51" i="2"/>
  <c r="AP51" i="2"/>
  <c r="AQ51" i="2"/>
  <c r="AR51" i="2"/>
  <c r="AS51" i="2"/>
  <c r="AT51" i="2"/>
  <c r="AU51" i="2"/>
  <c r="AV51" i="2"/>
  <c r="AW51" i="2"/>
  <c r="AX51" i="2"/>
  <c r="AY51" i="2"/>
  <c r="AA52" i="2"/>
  <c r="AB52" i="2"/>
  <c r="AC52" i="2"/>
  <c r="AD52" i="2"/>
  <c r="AE52" i="2"/>
  <c r="AF52" i="2"/>
  <c r="AG52" i="2"/>
  <c r="AH52" i="2"/>
  <c r="AI52" i="2"/>
  <c r="AJ52" i="2"/>
  <c r="AK52" i="2"/>
  <c r="AL52" i="2"/>
  <c r="AM52" i="2"/>
  <c r="AN52" i="2"/>
  <c r="AO52" i="2"/>
  <c r="AP52" i="2"/>
  <c r="AQ52" i="2"/>
  <c r="AR52" i="2"/>
  <c r="AS52" i="2"/>
  <c r="AT52" i="2"/>
  <c r="AU52" i="2"/>
  <c r="AV52" i="2"/>
  <c r="AW52" i="2"/>
  <c r="AX52" i="2"/>
  <c r="AY52" i="2"/>
  <c r="AA53" i="2"/>
  <c r="AB53" i="2"/>
  <c r="AC53" i="2"/>
  <c r="AD53" i="2"/>
  <c r="AE53" i="2"/>
  <c r="AF53" i="2"/>
  <c r="AG53" i="2"/>
  <c r="AH53" i="2"/>
  <c r="AI53" i="2"/>
  <c r="AJ53" i="2"/>
  <c r="AK53" i="2"/>
  <c r="AL53" i="2"/>
  <c r="AM53" i="2"/>
  <c r="AN53" i="2"/>
  <c r="AO53" i="2"/>
  <c r="AP53" i="2"/>
  <c r="AQ53" i="2"/>
  <c r="AR53" i="2"/>
  <c r="AS53" i="2"/>
  <c r="AT53" i="2"/>
  <c r="AU53" i="2"/>
  <c r="AV53" i="2"/>
  <c r="AW53" i="2"/>
  <c r="AX53" i="2"/>
  <c r="AY53" i="2"/>
  <c r="AA54" i="2"/>
  <c r="AB54" i="2"/>
  <c r="AC54" i="2"/>
  <c r="AD54" i="2"/>
  <c r="AE54" i="2"/>
  <c r="AF54" i="2"/>
  <c r="AG54" i="2"/>
  <c r="AH54" i="2"/>
  <c r="AI54" i="2"/>
  <c r="AJ54" i="2"/>
  <c r="AK54" i="2"/>
  <c r="AL54" i="2"/>
  <c r="AM54" i="2"/>
  <c r="AN54" i="2"/>
  <c r="AO54" i="2"/>
  <c r="AP54" i="2"/>
  <c r="AQ54" i="2"/>
  <c r="AR54" i="2"/>
  <c r="AS54" i="2"/>
  <c r="AT54" i="2"/>
  <c r="AU54" i="2"/>
  <c r="AV54" i="2"/>
  <c r="AW54" i="2"/>
  <c r="AX54" i="2"/>
  <c r="AY54" i="2"/>
  <c r="AA55" i="2"/>
  <c r="AB55" i="2"/>
  <c r="AC55" i="2"/>
  <c r="AD55" i="2"/>
  <c r="AE55" i="2"/>
  <c r="AF55" i="2"/>
  <c r="AG55" i="2"/>
  <c r="AH55" i="2"/>
  <c r="AI55" i="2"/>
  <c r="AJ55" i="2"/>
  <c r="AK55" i="2"/>
  <c r="AL55" i="2"/>
  <c r="AM55" i="2"/>
  <c r="AN55" i="2"/>
  <c r="AO55" i="2"/>
  <c r="AP55" i="2"/>
  <c r="AQ55" i="2"/>
  <c r="AR55" i="2"/>
  <c r="AS55" i="2"/>
  <c r="AT55" i="2"/>
  <c r="AU55" i="2"/>
  <c r="AV55" i="2"/>
  <c r="AW55" i="2"/>
  <c r="AX55" i="2"/>
  <c r="AY55" i="2"/>
  <c r="AA56" i="2"/>
  <c r="AB56" i="2"/>
  <c r="AC56" i="2"/>
  <c r="AD56" i="2"/>
  <c r="AE56" i="2"/>
  <c r="AF56" i="2"/>
  <c r="AG56" i="2"/>
  <c r="AH56" i="2"/>
  <c r="AI56" i="2"/>
  <c r="AJ56" i="2"/>
  <c r="AK56" i="2"/>
  <c r="AL56" i="2"/>
  <c r="AM56" i="2"/>
  <c r="AN56" i="2"/>
  <c r="AO56" i="2"/>
  <c r="AP56" i="2"/>
  <c r="AQ56" i="2"/>
  <c r="AR56" i="2"/>
  <c r="AS56" i="2"/>
  <c r="AT56" i="2"/>
  <c r="AU56" i="2"/>
  <c r="AV56" i="2"/>
  <c r="AW56" i="2"/>
  <c r="AX56" i="2"/>
  <c r="AY56" i="2"/>
  <c r="AA57" i="2"/>
  <c r="AB57" i="2"/>
  <c r="AC57" i="2"/>
  <c r="AD57" i="2"/>
  <c r="AE57" i="2"/>
  <c r="AF57" i="2"/>
  <c r="AG57" i="2"/>
  <c r="AH57" i="2"/>
  <c r="AI57" i="2"/>
  <c r="AJ57" i="2"/>
  <c r="AK57" i="2"/>
  <c r="AL57" i="2"/>
  <c r="AM57" i="2"/>
  <c r="AN57" i="2"/>
  <c r="AO57" i="2"/>
  <c r="AP57" i="2"/>
  <c r="AQ57" i="2"/>
  <c r="AR57" i="2"/>
  <c r="AS57" i="2"/>
  <c r="AT57" i="2"/>
  <c r="AU57" i="2"/>
  <c r="AV57" i="2"/>
  <c r="AW57" i="2"/>
  <c r="AX57" i="2"/>
  <c r="AY57" i="2"/>
  <c r="AA58" i="2"/>
  <c r="AB58" i="2"/>
  <c r="AC58" i="2"/>
  <c r="AD58" i="2"/>
  <c r="AE58" i="2"/>
  <c r="AF58" i="2"/>
  <c r="AG58" i="2"/>
  <c r="AH58" i="2"/>
  <c r="AI58" i="2"/>
  <c r="AJ58" i="2"/>
  <c r="AK58" i="2"/>
  <c r="AL58" i="2"/>
  <c r="AM58" i="2"/>
  <c r="AN58" i="2"/>
  <c r="AO58" i="2"/>
  <c r="AP58" i="2"/>
  <c r="AQ58" i="2"/>
  <c r="AR58" i="2"/>
  <c r="AS58" i="2"/>
  <c r="AT58" i="2"/>
  <c r="AU58" i="2"/>
  <c r="AV58" i="2"/>
  <c r="AW58" i="2"/>
  <c r="AX58" i="2"/>
  <c r="AY58" i="2"/>
  <c r="AA59" i="2"/>
  <c r="AB59" i="2"/>
  <c r="AC59" i="2"/>
  <c r="AD59" i="2"/>
  <c r="AE59" i="2"/>
  <c r="AF59" i="2"/>
  <c r="AG59" i="2"/>
  <c r="AH59" i="2"/>
  <c r="AI59" i="2"/>
  <c r="AJ59" i="2"/>
  <c r="AK59" i="2"/>
  <c r="AL59" i="2"/>
  <c r="AM59" i="2"/>
  <c r="AN59" i="2"/>
  <c r="AO59" i="2"/>
  <c r="AP59" i="2"/>
  <c r="AQ59" i="2"/>
  <c r="AR59" i="2"/>
  <c r="AS59" i="2"/>
  <c r="AT59" i="2"/>
  <c r="AU59" i="2"/>
  <c r="AV59" i="2"/>
  <c r="AW59" i="2"/>
  <c r="AX59" i="2"/>
  <c r="AY59" i="2"/>
  <c r="AA60" i="2"/>
  <c r="AB60" i="2"/>
  <c r="AC60" i="2"/>
  <c r="AD60" i="2"/>
  <c r="AE60" i="2"/>
  <c r="AF60" i="2"/>
  <c r="AG60" i="2"/>
  <c r="AH60" i="2"/>
  <c r="AI60" i="2"/>
  <c r="AJ60" i="2"/>
  <c r="AK60" i="2"/>
  <c r="AL60" i="2"/>
  <c r="AM60" i="2"/>
  <c r="AN60" i="2"/>
  <c r="AO60" i="2"/>
  <c r="AP60" i="2"/>
  <c r="AQ60" i="2"/>
  <c r="AR60" i="2"/>
  <c r="AS60" i="2"/>
  <c r="AT60" i="2"/>
  <c r="AU60" i="2"/>
  <c r="AV60" i="2"/>
  <c r="AW60" i="2"/>
  <c r="AX60" i="2"/>
  <c r="AY60" i="2"/>
  <c r="AA61" i="2"/>
  <c r="AB61" i="2"/>
  <c r="AC61" i="2"/>
  <c r="AD61" i="2"/>
  <c r="AE61" i="2"/>
  <c r="AF61" i="2"/>
  <c r="AG61" i="2"/>
  <c r="AH61" i="2"/>
  <c r="AI61" i="2"/>
  <c r="AJ61" i="2"/>
  <c r="AK61" i="2"/>
  <c r="AL61" i="2"/>
  <c r="AM61" i="2"/>
  <c r="AN61" i="2"/>
  <c r="AO61" i="2"/>
  <c r="AP61" i="2"/>
  <c r="AQ61" i="2"/>
  <c r="AR61" i="2"/>
  <c r="AS61" i="2"/>
  <c r="AT61" i="2"/>
  <c r="AU61" i="2"/>
  <c r="AV61" i="2"/>
  <c r="AW61" i="2"/>
  <c r="AX61" i="2"/>
  <c r="AY61" i="2"/>
  <c r="AA62" i="2"/>
  <c r="AB62" i="2"/>
  <c r="AC62" i="2"/>
  <c r="AD62" i="2"/>
  <c r="AE62" i="2"/>
  <c r="AF62" i="2"/>
  <c r="AG62" i="2"/>
  <c r="AH62" i="2"/>
  <c r="AI62" i="2"/>
  <c r="AJ62" i="2"/>
  <c r="AK62" i="2"/>
  <c r="AL62" i="2"/>
  <c r="AM62" i="2"/>
  <c r="AN62" i="2"/>
  <c r="AO62" i="2"/>
  <c r="AP62" i="2"/>
  <c r="AQ62" i="2"/>
  <c r="AR62" i="2"/>
  <c r="AS62" i="2"/>
  <c r="AT62" i="2"/>
  <c r="AU62" i="2"/>
  <c r="AV62" i="2"/>
  <c r="AW62" i="2"/>
  <c r="AX62" i="2"/>
  <c r="AY62" i="2"/>
  <c r="AA63" i="2"/>
  <c r="AB63" i="2"/>
  <c r="AC63" i="2"/>
  <c r="AD63" i="2"/>
  <c r="AE63" i="2"/>
  <c r="AF63" i="2"/>
  <c r="AG63" i="2"/>
  <c r="AH63" i="2"/>
  <c r="AI63" i="2"/>
  <c r="AJ63" i="2"/>
  <c r="AK63" i="2"/>
  <c r="AL63" i="2"/>
  <c r="AM63" i="2"/>
  <c r="AN63" i="2"/>
  <c r="AO63" i="2"/>
  <c r="AP63" i="2"/>
  <c r="AQ63" i="2"/>
  <c r="AR63" i="2"/>
  <c r="AS63" i="2"/>
  <c r="AT63" i="2"/>
  <c r="AU63" i="2"/>
  <c r="AV63" i="2"/>
  <c r="AW63" i="2"/>
  <c r="AX63" i="2"/>
  <c r="AY63" i="2"/>
  <c r="AA64" i="2"/>
  <c r="AB64" i="2"/>
  <c r="AC64" i="2"/>
  <c r="AD64" i="2"/>
  <c r="AE64" i="2"/>
  <c r="AF64" i="2"/>
  <c r="AG64" i="2"/>
  <c r="AH64" i="2"/>
  <c r="AI64" i="2"/>
  <c r="AJ64" i="2"/>
  <c r="AK64" i="2"/>
  <c r="AL64" i="2"/>
  <c r="AM64" i="2"/>
  <c r="AN64" i="2"/>
  <c r="AO64" i="2"/>
  <c r="AP64" i="2"/>
  <c r="AQ64" i="2"/>
  <c r="AR64" i="2"/>
  <c r="AS64" i="2"/>
  <c r="AT64" i="2"/>
  <c r="AU64" i="2"/>
  <c r="AV64" i="2"/>
  <c r="AW64" i="2"/>
  <c r="AX64" i="2"/>
  <c r="AY64" i="2"/>
  <c r="AA65" i="2"/>
  <c r="AB65" i="2"/>
  <c r="AC65" i="2"/>
  <c r="AD65" i="2"/>
  <c r="AE65" i="2"/>
  <c r="AF65" i="2"/>
  <c r="AG65" i="2"/>
  <c r="AH65" i="2"/>
  <c r="AI65" i="2"/>
  <c r="AJ65" i="2"/>
  <c r="AK65" i="2"/>
  <c r="AL65" i="2"/>
  <c r="AM65" i="2"/>
  <c r="AN65" i="2"/>
  <c r="AO65" i="2"/>
  <c r="AP65" i="2"/>
  <c r="AQ65" i="2"/>
  <c r="AR65" i="2"/>
  <c r="AS65" i="2"/>
  <c r="AT65" i="2"/>
  <c r="AU65" i="2"/>
  <c r="AV65" i="2"/>
  <c r="AW65" i="2"/>
  <c r="AX65" i="2"/>
  <c r="AY65" i="2"/>
  <c r="AA66" i="2"/>
  <c r="AB66" i="2"/>
  <c r="AC66" i="2"/>
  <c r="AD66" i="2"/>
  <c r="AE66" i="2"/>
  <c r="AF66" i="2"/>
  <c r="AG66" i="2"/>
  <c r="AH66" i="2"/>
  <c r="AI66" i="2"/>
  <c r="AJ66" i="2"/>
  <c r="AK66" i="2"/>
  <c r="AL66" i="2"/>
  <c r="AM66" i="2"/>
  <c r="AN66" i="2"/>
  <c r="AO66" i="2"/>
  <c r="AP66" i="2"/>
  <c r="AQ66" i="2"/>
  <c r="AR66" i="2"/>
  <c r="AS66" i="2"/>
  <c r="AT66" i="2"/>
  <c r="AU66" i="2"/>
  <c r="AV66" i="2"/>
  <c r="AW66" i="2"/>
  <c r="AX66" i="2"/>
  <c r="AY66" i="2"/>
  <c r="AA67" i="2"/>
  <c r="AB67" i="2"/>
  <c r="AC67" i="2"/>
  <c r="AD67" i="2"/>
  <c r="AE67" i="2"/>
  <c r="AF67" i="2"/>
  <c r="AG67" i="2"/>
  <c r="AH67" i="2"/>
  <c r="AI67" i="2"/>
  <c r="AJ67" i="2"/>
  <c r="AK67" i="2"/>
  <c r="AL67" i="2"/>
  <c r="AM67" i="2"/>
  <c r="AN67" i="2"/>
  <c r="AO67" i="2"/>
  <c r="AP67" i="2"/>
  <c r="AQ67" i="2"/>
  <c r="AR67" i="2"/>
  <c r="AS67" i="2"/>
  <c r="AT67" i="2"/>
  <c r="AU67" i="2"/>
  <c r="AV67" i="2"/>
  <c r="AW67" i="2"/>
  <c r="AX67" i="2"/>
  <c r="AY67" i="2"/>
  <c r="AA68" i="2"/>
  <c r="AB68" i="2"/>
  <c r="AC68" i="2"/>
  <c r="AD68" i="2"/>
  <c r="AE68" i="2"/>
  <c r="AF68" i="2"/>
  <c r="AG68" i="2"/>
  <c r="AH68" i="2"/>
  <c r="AI68" i="2"/>
  <c r="AJ68" i="2"/>
  <c r="AK68" i="2"/>
  <c r="AL68" i="2"/>
  <c r="AM68" i="2"/>
  <c r="AN68" i="2"/>
  <c r="AO68" i="2"/>
  <c r="AP68" i="2"/>
  <c r="AQ68" i="2"/>
  <c r="AR68" i="2"/>
  <c r="AS68" i="2"/>
  <c r="AT68" i="2"/>
  <c r="AU68" i="2"/>
  <c r="AV68" i="2"/>
  <c r="AW68" i="2"/>
  <c r="AX68" i="2"/>
  <c r="AY68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C52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C53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C54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C55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C56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C57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C58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C60" i="2"/>
  <c r="D60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V60" i="2"/>
  <c r="W60" i="2"/>
  <c r="X60" i="2"/>
  <c r="Y60" i="2"/>
  <c r="C61" i="2"/>
  <c r="D61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C62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C63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C64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C65" i="2"/>
  <c r="D65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C66" i="2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C67" i="2"/>
  <c r="D67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C68" i="2"/>
  <c r="D68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X68" i="2"/>
  <c r="Y68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5" i="2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</calcChain>
</file>

<file path=xl/sharedStrings.xml><?xml version="1.0" encoding="utf-8"?>
<sst xmlns="http://schemas.openxmlformats.org/spreadsheetml/2006/main" count="59" uniqueCount="7">
  <si>
    <t>x</t>
  </si>
  <si>
    <t>n =</t>
  </si>
  <si>
    <t>a0</t>
  </si>
  <si>
    <t>f(x)</t>
  </si>
  <si>
    <t>f(x) = (x^4) - 3x</t>
  </si>
  <si>
    <t>F(x)</t>
  </si>
  <si>
    <t>F(x) = (2*(PI^4)/5)/2 + suma((((8(PI^2)*(n^2)-48)*((-1)^n)/(n^4))*cos(nx))+(((6*((-1)^n))/n)*sin(nx))) desde n=1 hasta infinito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</si>
</sst>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rgb="FFC000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rgb="FF3F3F3F"/>
      </right>
      <top style="medium">
        <color indexed="64"/>
      </top>
      <bottom style="medium">
        <color indexed="64"/>
      </bottom>
      <diagonal/>
    </border>
    <border>
      <left style="double">
        <color rgb="FF3F3F3F"/>
      </left>
      <right style="double">
        <color rgb="FF3F3F3F"/>
      </right>
      <top style="medium">
        <color indexed="64"/>
      </top>
      <bottom style="medium">
        <color indexed="64"/>
      </bottom>
      <diagonal/>
    </border>
    <border>
      <left style="double">
        <color rgb="FF3F3F3F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rgb="FF3F3F3F"/>
      </right>
      <top style="medium">
        <color indexed="64"/>
      </top>
      <bottom/>
      <diagonal/>
    </border>
    <border>
      <left style="double">
        <color rgb="FF3F3F3F"/>
      </left>
      <right style="double">
        <color rgb="FF3F3F3F"/>
      </right>
      <top style="medium">
        <color indexed="64"/>
      </top>
      <bottom/>
      <diagonal/>
    </border>
    <border>
      <left style="double">
        <color rgb="FF3F3F3F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6" borderId="2" applyNumberFormat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" fillId="0" borderId="0" xfId="0" applyFont="1"/>
    <xf numFmtId="0" fontId="1" fillId="7" borderId="4" xfId="1" applyFill="1" applyBorder="1" applyAlignment="1">
      <alignment horizontal="center"/>
    </xf>
    <xf numFmtId="0" fontId="1" fillId="7" borderId="6" xfId="1" applyFill="1" applyBorder="1" applyAlignment="1">
      <alignment horizontal="center"/>
    </xf>
    <xf numFmtId="0" fontId="1" fillId="7" borderId="7" xfId="1" applyFill="1" applyBorder="1" applyAlignment="1">
      <alignment horizontal="center"/>
    </xf>
    <xf numFmtId="0" fontId="1" fillId="7" borderId="8" xfId="1" applyFill="1" applyBorder="1" applyAlignment="1">
      <alignment horizontal="center"/>
    </xf>
    <xf numFmtId="0" fontId="1" fillId="7" borderId="9" xfId="1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1" fillId="7" borderId="11" xfId="1" applyFill="1" applyBorder="1"/>
    <xf numFmtId="0" fontId="1" fillId="7" borderId="12" xfId="1" applyFill="1" applyBorder="1" applyAlignment="1">
      <alignment horizontal="center"/>
    </xf>
    <xf numFmtId="0" fontId="1" fillId="7" borderId="13" xfId="1" applyFill="1" applyBorder="1" applyAlignment="1">
      <alignment horizontal="center"/>
    </xf>
    <xf numFmtId="0" fontId="1" fillId="7" borderId="14" xfId="1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1" fillId="7" borderId="4" xfId="1" applyFill="1" applyBorder="1" applyAlignment="1">
      <alignment horizontal="center"/>
    </xf>
    <xf numFmtId="0" fontId="1" fillId="7" borderId="5" xfId="1" applyFill="1" applyBorder="1" applyAlignment="1">
      <alignment horizontal="center"/>
    </xf>
    <xf numFmtId="0" fontId="1" fillId="7" borderId="6" xfId="1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0" borderId="16" xfId="0" applyBorder="1"/>
    <xf numFmtId="0" fontId="0" fillId="3" borderId="17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0" borderId="18" xfId="0" applyBorder="1"/>
    <xf numFmtId="0" fontId="1" fillId="7" borderId="19" xfId="1" applyFill="1" applyBorder="1" applyAlignment="1">
      <alignment horizontal="center"/>
    </xf>
    <xf numFmtId="0" fontId="0" fillId="0" borderId="0" xfId="0" applyBorder="1"/>
    <xf numFmtId="0" fontId="1" fillId="7" borderId="20" xfId="1" applyFill="1" applyBorder="1" applyAlignment="1">
      <alignment horizontal="center"/>
    </xf>
    <xf numFmtId="0" fontId="1" fillId="7" borderId="3" xfId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Celda de comprobación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MX">
                <a:latin typeface="Times New Roman" panose="02020603050405020304" pitchFamily="18" charset="0"/>
                <a:cs typeface="Times New Roman" panose="02020603050405020304" pitchFamily="18" charset="0"/>
              </a:rPr>
              <a:t>Gráfica</a:t>
            </a:r>
            <a:r>
              <a:rPr lang="es-MX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de la función </a:t>
            </a:r>
            <a:r>
              <a:rPr lang="es-MX">
                <a:latin typeface="Times New Roman" panose="02020603050405020304" pitchFamily="18" charset="0"/>
                <a:cs typeface="Times New Roman" panose="02020603050405020304" pitchFamily="18" charset="0"/>
              </a:rPr>
              <a:t>f(x)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'Grafica original y comparacion'!$B$4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'Grafica original y comparacion'!$A$5:$A$68</c:f>
              <c:numCache>
                <c:formatCode>General</c:formatCode>
                <c:ptCount val="64"/>
                <c:pt idx="0">
                  <c:v>-3.1415999999999999</c:v>
                </c:pt>
                <c:pt idx="1">
                  <c:v>-3.0415999999999999</c:v>
                </c:pt>
                <c:pt idx="2">
                  <c:v>-2.9416000000000002</c:v>
                </c:pt>
                <c:pt idx="3">
                  <c:v>-2.8416000000000001</c:v>
                </c:pt>
                <c:pt idx="4">
                  <c:v>-2.7416</c:v>
                </c:pt>
                <c:pt idx="5">
                  <c:v>-2.6415999999999999</c:v>
                </c:pt>
                <c:pt idx="6">
                  <c:v>-2.5415999999999999</c:v>
                </c:pt>
                <c:pt idx="7">
                  <c:v>-2.4416000000000002</c:v>
                </c:pt>
                <c:pt idx="8">
                  <c:v>-2.3416000000000001</c:v>
                </c:pt>
                <c:pt idx="9">
                  <c:v>-2.2416</c:v>
                </c:pt>
                <c:pt idx="10">
                  <c:v>-2.1415999999999999</c:v>
                </c:pt>
                <c:pt idx="11">
                  <c:v>-2.0415999999999999</c:v>
                </c:pt>
                <c:pt idx="12">
                  <c:v>-1.9416</c:v>
                </c:pt>
                <c:pt idx="13">
                  <c:v>-1.8415999999999999</c:v>
                </c:pt>
                <c:pt idx="14">
                  <c:v>-1.7416</c:v>
                </c:pt>
                <c:pt idx="15">
                  <c:v>-1.6415999999999999</c:v>
                </c:pt>
                <c:pt idx="16">
                  <c:v>-1.5416000000000001</c:v>
                </c:pt>
                <c:pt idx="17">
                  <c:v>-1.4416</c:v>
                </c:pt>
                <c:pt idx="18">
                  <c:v>-1.3415999999999999</c:v>
                </c:pt>
                <c:pt idx="19">
                  <c:v>-1.2416</c:v>
                </c:pt>
                <c:pt idx="20">
                  <c:v>-1.1415999999999999</c:v>
                </c:pt>
                <c:pt idx="21">
                  <c:v>-1.0416000000000001</c:v>
                </c:pt>
                <c:pt idx="22">
                  <c:v>-0.94159999999999999</c:v>
                </c:pt>
                <c:pt idx="23">
                  <c:v>-0.84160000000000001</c:v>
                </c:pt>
                <c:pt idx="24">
                  <c:v>-0.74160000000000004</c:v>
                </c:pt>
                <c:pt idx="25">
                  <c:v>-0.64159999999999995</c:v>
                </c:pt>
                <c:pt idx="26">
                  <c:v>-0.54159999999999997</c:v>
                </c:pt>
                <c:pt idx="27">
                  <c:v>-0.44159999999999999</c:v>
                </c:pt>
                <c:pt idx="28">
                  <c:v>-0.34160000000000001</c:v>
                </c:pt>
                <c:pt idx="29">
                  <c:v>-0.24160000000000001</c:v>
                </c:pt>
                <c:pt idx="30">
                  <c:v>-0.1416</c:v>
                </c:pt>
                <c:pt idx="31">
                  <c:v>-4.1599999999999901E-2</c:v>
                </c:pt>
                <c:pt idx="32">
                  <c:v>5.8400000000000202E-2</c:v>
                </c:pt>
                <c:pt idx="33">
                  <c:v>0.15840000000000001</c:v>
                </c:pt>
                <c:pt idx="34">
                  <c:v>0.25840000000000002</c:v>
                </c:pt>
                <c:pt idx="35">
                  <c:v>0.3584</c:v>
                </c:pt>
                <c:pt idx="36">
                  <c:v>0.45839999999999997</c:v>
                </c:pt>
                <c:pt idx="37">
                  <c:v>0.55840000000000001</c:v>
                </c:pt>
                <c:pt idx="38">
                  <c:v>0.65839999999999999</c:v>
                </c:pt>
                <c:pt idx="39">
                  <c:v>0.75839999999999996</c:v>
                </c:pt>
                <c:pt idx="40">
                  <c:v>0.85840000000000005</c:v>
                </c:pt>
                <c:pt idx="41">
                  <c:v>0.95840000000000003</c:v>
                </c:pt>
                <c:pt idx="42">
                  <c:v>1.0584</c:v>
                </c:pt>
                <c:pt idx="43">
                  <c:v>1.1584000000000001</c:v>
                </c:pt>
                <c:pt idx="44">
                  <c:v>1.2584</c:v>
                </c:pt>
                <c:pt idx="45">
                  <c:v>1.3584000000000001</c:v>
                </c:pt>
                <c:pt idx="46">
                  <c:v>1.4583999999999999</c:v>
                </c:pt>
                <c:pt idx="47">
                  <c:v>1.5584</c:v>
                </c:pt>
                <c:pt idx="48">
                  <c:v>1.6584000000000001</c:v>
                </c:pt>
                <c:pt idx="49">
                  <c:v>1.7584</c:v>
                </c:pt>
                <c:pt idx="50">
                  <c:v>1.8584000000000001</c:v>
                </c:pt>
                <c:pt idx="51">
                  <c:v>1.9583999999999999</c:v>
                </c:pt>
                <c:pt idx="52">
                  <c:v>2.0583999999999998</c:v>
                </c:pt>
                <c:pt idx="53">
                  <c:v>2.1583999999999999</c:v>
                </c:pt>
                <c:pt idx="54">
                  <c:v>2.2584</c:v>
                </c:pt>
                <c:pt idx="55">
                  <c:v>2.3584000000000098</c:v>
                </c:pt>
                <c:pt idx="56">
                  <c:v>2.4584000000000001</c:v>
                </c:pt>
                <c:pt idx="57">
                  <c:v>2.5583999999999998</c:v>
                </c:pt>
                <c:pt idx="58">
                  <c:v>2.6584000000000101</c:v>
                </c:pt>
                <c:pt idx="59">
                  <c:v>2.7584000000000102</c:v>
                </c:pt>
                <c:pt idx="60">
                  <c:v>2.8584000000000098</c:v>
                </c:pt>
                <c:pt idx="61">
                  <c:v>2.9584000000000001</c:v>
                </c:pt>
                <c:pt idx="62">
                  <c:v>3.05840000000001</c:v>
                </c:pt>
                <c:pt idx="63">
                  <c:v>3.1415999999999999</c:v>
                </c:pt>
              </c:numCache>
            </c:numRef>
          </c:xVal>
          <c:yVal>
            <c:numRef>
              <c:f>'Grafica original y comparacion'!$B$5:$B$68</c:f>
              <c:numCache>
                <c:formatCode>General</c:formatCode>
                <c:ptCount val="64"/>
                <c:pt idx="0">
                  <c:v>106.83480217650832</c:v>
                </c:pt>
                <c:pt idx="1">
                  <c:v>94.711917130389907</c:v>
                </c:pt>
                <c:pt idx="2">
                  <c:v>83.699391751471538</c:v>
                </c:pt>
                <c:pt idx="3">
                  <c:v>73.725427639753121</c:v>
                </c:pt>
                <c:pt idx="4">
                  <c:v>64.720626395234717</c:v>
                </c:pt>
                <c:pt idx="5">
                  <c:v>56.617989617916308</c:v>
                </c:pt>
                <c:pt idx="6">
                  <c:v>49.352918907797907</c:v>
                </c:pt>
                <c:pt idx="7">
                  <c:v>42.863215864879528</c:v>
                </c:pt>
                <c:pt idx="8">
                  <c:v>37.089082089161124</c:v>
                </c:pt>
                <c:pt idx="9">
                  <c:v>31.973119180642719</c:v>
                </c:pt>
                <c:pt idx="10">
                  <c:v>27.460328739324311</c:v>
                </c:pt>
                <c:pt idx="11">
                  <c:v>23.498112365205913</c:v>
                </c:pt>
                <c:pt idx="12">
                  <c:v>20.036271658287511</c:v>
                </c:pt>
                <c:pt idx="13">
                  <c:v>17.027008218569112</c:v>
                </c:pt>
                <c:pt idx="14">
                  <c:v>14.424923646050715</c:v>
                </c:pt>
                <c:pt idx="15">
                  <c:v>12.187019540732312</c:v>
                </c:pt>
                <c:pt idx="16">
                  <c:v>10.272697502613916</c:v>
                </c:pt>
                <c:pt idx="17">
                  <c:v>8.6437591316955142</c:v>
                </c:pt>
                <c:pt idx="18">
                  <c:v>7.2644060279771123</c:v>
                </c:pt>
                <c:pt idx="19">
                  <c:v>6.1012397914587133</c:v>
                </c:pt>
                <c:pt idx="20">
                  <c:v>5.1232620221403131</c:v>
                </c:pt>
                <c:pt idx="21">
                  <c:v>4.3018743200219145</c:v>
                </c:pt>
                <c:pt idx="22">
                  <c:v>3.6108782851035133</c:v>
                </c:pt>
                <c:pt idx="23">
                  <c:v>3.0264755173851134</c:v>
                </c:pt>
                <c:pt idx="24">
                  <c:v>2.5272676168667139</c:v>
                </c:pt>
                <c:pt idx="25">
                  <c:v>2.0942561835483136</c:v>
                </c:pt>
                <c:pt idx="26">
                  <c:v>1.7108428174299135</c:v>
                </c:pt>
                <c:pt idx="27">
                  <c:v>1.3628291185115136</c:v>
                </c:pt>
                <c:pt idx="28">
                  <c:v>1.0384166867931135</c:v>
                </c:pt>
                <c:pt idx="29">
                  <c:v>0.72820712227471363</c:v>
                </c:pt>
                <c:pt idx="30">
                  <c:v>0.4252020249563136</c:v>
                </c:pt>
                <c:pt idx="31">
                  <c:v>0.12480299483791331</c:v>
                </c:pt>
                <c:pt idx="32">
                  <c:v>-0.17518836808048702</c:v>
                </c:pt>
                <c:pt idx="33">
                  <c:v>-0.47457046379888645</c:v>
                </c:pt>
                <c:pt idx="34">
                  <c:v>-0.77074169231728651</c:v>
                </c:pt>
                <c:pt idx="35">
                  <c:v>-1.0587004536356863</c:v>
                </c:pt>
                <c:pt idx="36">
                  <c:v>-1.3310451477540863</c:v>
                </c:pt>
                <c:pt idx="37">
                  <c:v>-1.5779741746724865</c:v>
                </c:pt>
                <c:pt idx="38">
                  <c:v>-1.7872859343908865</c:v>
                </c:pt>
                <c:pt idx="39">
                  <c:v>-1.9443788269092863</c:v>
                </c:pt>
                <c:pt idx="40">
                  <c:v>-2.0322512522276863</c:v>
                </c:pt>
                <c:pt idx="41">
                  <c:v>-2.0315016103460861</c:v>
                </c:pt>
                <c:pt idx="42">
                  <c:v>-1.9203283012644865</c:v>
                </c:pt>
                <c:pt idx="43">
                  <c:v>-1.6745297249828861</c:v>
                </c:pt>
                <c:pt idx="44">
                  <c:v>-1.2675042815012869</c:v>
                </c:pt>
                <c:pt idx="45">
                  <c:v>-0.6702503708196863</c:v>
                </c:pt>
                <c:pt idx="46">
                  <c:v>0.14863360706191386</c:v>
                </c:pt>
                <c:pt idx="47">
                  <c:v>1.2229492521435139</c:v>
                </c:pt>
                <c:pt idx="48">
                  <c:v>2.5888981644251148</c:v>
                </c:pt>
                <c:pt idx="49">
                  <c:v>4.2850819439067145</c:v>
                </c:pt>
                <c:pt idx="50">
                  <c:v>6.3525021905883143</c:v>
                </c:pt>
                <c:pt idx="51">
                  <c:v>8.8345605044699109</c:v>
                </c:pt>
                <c:pt idx="52">
                  <c:v>11.777058485551503</c:v>
                </c:pt>
                <c:pt idx="53">
                  <c:v>15.228197733833108</c:v>
                </c:pt>
                <c:pt idx="54">
                  <c:v>19.238579849314711</c:v>
                </c:pt>
                <c:pt idx="55">
                  <c:v>23.861206431996798</c:v>
                </c:pt>
                <c:pt idx="56">
                  <c:v>29.15147908187793</c:v>
                </c:pt>
                <c:pt idx="57">
                  <c:v>35.167199398959504</c:v>
                </c:pt>
                <c:pt idx="58">
                  <c:v>41.968568983241845</c:v>
                </c:pt>
                <c:pt idx="59">
                  <c:v>49.618189434723533</c:v>
                </c:pt>
                <c:pt idx="60">
                  <c:v>58.181062353405203</c:v>
                </c:pt>
                <c:pt idx="61">
                  <c:v>67.724589339285927</c:v>
                </c:pt>
                <c:pt idx="62">
                  <c:v>78.318571992368632</c:v>
                </c:pt>
                <c:pt idx="63">
                  <c:v>87.985202176508309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F0-4543-86A5-8CD6C88F08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1884191"/>
        <c:axId val="831875455"/>
      </c:scatterChart>
      <c:valAx>
        <c:axId val="831884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31875455"/>
        <c:crosses val="autoZero"/>
        <c:crossBetween val="midCat"/>
      </c:valAx>
      <c:valAx>
        <c:axId val="831875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31884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MX">
                <a:latin typeface="Times New Roman" panose="02020603050405020304" pitchFamily="18" charset="0"/>
                <a:cs typeface="Times New Roman" panose="02020603050405020304" pitchFamily="18" charset="0"/>
              </a:rPr>
              <a:t>Gráfica de la serie de Fourier F(x)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Fourier!$BB$4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Fourier!$BA$5:$BA$68</c:f>
              <c:numCache>
                <c:formatCode>General</c:formatCode>
                <c:ptCount val="64"/>
                <c:pt idx="0">
                  <c:v>-3.1415999999999999</c:v>
                </c:pt>
                <c:pt idx="1">
                  <c:v>-3.0415999999999999</c:v>
                </c:pt>
                <c:pt idx="2">
                  <c:v>-2.9416000000000002</c:v>
                </c:pt>
                <c:pt idx="3">
                  <c:v>-2.8416000000000001</c:v>
                </c:pt>
                <c:pt idx="4">
                  <c:v>-2.7416</c:v>
                </c:pt>
                <c:pt idx="5">
                  <c:v>-2.6415999999999999</c:v>
                </c:pt>
                <c:pt idx="6">
                  <c:v>-2.5415999999999999</c:v>
                </c:pt>
                <c:pt idx="7">
                  <c:v>-2.4416000000000002</c:v>
                </c:pt>
                <c:pt idx="8">
                  <c:v>-2.3416000000000001</c:v>
                </c:pt>
                <c:pt idx="9">
                  <c:v>-2.2416</c:v>
                </c:pt>
                <c:pt idx="10">
                  <c:v>-2.1415999999999999</c:v>
                </c:pt>
                <c:pt idx="11">
                  <c:v>-2.0415999999999999</c:v>
                </c:pt>
                <c:pt idx="12">
                  <c:v>-1.9416</c:v>
                </c:pt>
                <c:pt idx="13">
                  <c:v>-1.8415999999999999</c:v>
                </c:pt>
                <c:pt idx="14">
                  <c:v>-1.7416</c:v>
                </c:pt>
                <c:pt idx="15">
                  <c:v>-1.6415999999999999</c:v>
                </c:pt>
                <c:pt idx="16">
                  <c:v>-1.5416000000000001</c:v>
                </c:pt>
                <c:pt idx="17">
                  <c:v>-1.4416</c:v>
                </c:pt>
                <c:pt idx="18">
                  <c:v>-1.3415999999999999</c:v>
                </c:pt>
                <c:pt idx="19">
                  <c:v>-1.2416</c:v>
                </c:pt>
                <c:pt idx="20">
                  <c:v>-1.1415999999999999</c:v>
                </c:pt>
                <c:pt idx="21">
                  <c:v>-1.0416000000000001</c:v>
                </c:pt>
                <c:pt idx="22">
                  <c:v>-0.94159999999999999</c:v>
                </c:pt>
                <c:pt idx="23">
                  <c:v>-0.84160000000000001</c:v>
                </c:pt>
                <c:pt idx="24">
                  <c:v>-0.74160000000000004</c:v>
                </c:pt>
                <c:pt idx="25">
                  <c:v>-0.64159999999999995</c:v>
                </c:pt>
                <c:pt idx="26">
                  <c:v>-0.54159999999999997</c:v>
                </c:pt>
                <c:pt idx="27">
                  <c:v>-0.44159999999999999</c:v>
                </c:pt>
                <c:pt idx="28">
                  <c:v>-0.34160000000000001</c:v>
                </c:pt>
                <c:pt idx="29">
                  <c:v>-0.24160000000000001</c:v>
                </c:pt>
                <c:pt idx="30">
                  <c:v>-0.1416</c:v>
                </c:pt>
                <c:pt idx="31">
                  <c:v>-4.1599999999999901E-2</c:v>
                </c:pt>
                <c:pt idx="32">
                  <c:v>5.8400000000000202E-2</c:v>
                </c:pt>
                <c:pt idx="33">
                  <c:v>0.15840000000000001</c:v>
                </c:pt>
                <c:pt idx="34">
                  <c:v>0.25840000000000002</c:v>
                </c:pt>
                <c:pt idx="35">
                  <c:v>0.3584</c:v>
                </c:pt>
                <c:pt idx="36">
                  <c:v>0.45839999999999997</c:v>
                </c:pt>
                <c:pt idx="37">
                  <c:v>0.55840000000000001</c:v>
                </c:pt>
                <c:pt idx="38">
                  <c:v>0.65839999999999999</c:v>
                </c:pt>
                <c:pt idx="39">
                  <c:v>0.75839999999999996</c:v>
                </c:pt>
                <c:pt idx="40">
                  <c:v>0.85840000000000005</c:v>
                </c:pt>
                <c:pt idx="41">
                  <c:v>0.95840000000000003</c:v>
                </c:pt>
                <c:pt idx="42">
                  <c:v>1.0584</c:v>
                </c:pt>
                <c:pt idx="43">
                  <c:v>1.1584000000000001</c:v>
                </c:pt>
                <c:pt idx="44">
                  <c:v>1.2584</c:v>
                </c:pt>
                <c:pt idx="45">
                  <c:v>1.3584000000000001</c:v>
                </c:pt>
                <c:pt idx="46">
                  <c:v>1.4583999999999999</c:v>
                </c:pt>
                <c:pt idx="47">
                  <c:v>1.5584</c:v>
                </c:pt>
                <c:pt idx="48">
                  <c:v>1.6584000000000001</c:v>
                </c:pt>
                <c:pt idx="49">
                  <c:v>1.7584</c:v>
                </c:pt>
                <c:pt idx="50">
                  <c:v>1.8584000000000001</c:v>
                </c:pt>
                <c:pt idx="51">
                  <c:v>1.9583999999999999</c:v>
                </c:pt>
                <c:pt idx="52">
                  <c:v>2.0583999999999998</c:v>
                </c:pt>
                <c:pt idx="53">
                  <c:v>2.1583999999999999</c:v>
                </c:pt>
                <c:pt idx="54">
                  <c:v>2.2584</c:v>
                </c:pt>
                <c:pt idx="55">
                  <c:v>2.3584000000000098</c:v>
                </c:pt>
                <c:pt idx="56">
                  <c:v>2.4584000000000001</c:v>
                </c:pt>
                <c:pt idx="57">
                  <c:v>2.5583999999999998</c:v>
                </c:pt>
                <c:pt idx="58">
                  <c:v>2.6584000000000101</c:v>
                </c:pt>
                <c:pt idx="59">
                  <c:v>2.7584000000000102</c:v>
                </c:pt>
                <c:pt idx="60">
                  <c:v>2.8584000000000098</c:v>
                </c:pt>
                <c:pt idx="61">
                  <c:v>2.9584000000000001</c:v>
                </c:pt>
                <c:pt idx="62">
                  <c:v>3.05840000000001</c:v>
                </c:pt>
                <c:pt idx="63">
                  <c:v>3.1415999999999999</c:v>
                </c:pt>
              </c:numCache>
            </c:numRef>
          </c:xVal>
          <c:yVal>
            <c:numRef>
              <c:f>Fourier!$BB$5:$BB$68</c:f>
              <c:numCache>
                <c:formatCode>General</c:formatCode>
                <c:ptCount val="64"/>
                <c:pt idx="0">
                  <c:v>95.843560613227041</c:v>
                </c:pt>
                <c:pt idx="1">
                  <c:v>94.251625002259473</c:v>
                </c:pt>
                <c:pt idx="2">
                  <c:v>84.120263387837284</c:v>
                </c:pt>
                <c:pt idx="3">
                  <c:v>74.110855625320497</c:v>
                </c:pt>
                <c:pt idx="4">
                  <c:v>64.714752147585685</c:v>
                </c:pt>
                <c:pt idx="5">
                  <c:v>56.381658844351051</c:v>
                </c:pt>
                <c:pt idx="6">
                  <c:v>49.222387210138592</c:v>
                </c:pt>
                <c:pt idx="7">
                  <c:v>42.957758796229882</c:v>
                </c:pt>
                <c:pt idx="8">
                  <c:v>37.243927605237552</c:v>
                </c:pt>
                <c:pt idx="9">
                  <c:v>31.991393216978189</c:v>
                </c:pt>
                <c:pt idx="10">
                  <c:v>27.345709778345366</c:v>
                </c:pt>
                <c:pt idx="11">
                  <c:v>23.412820817813412</c:v>
                </c:pt>
                <c:pt idx="12">
                  <c:v>20.080952209545611</c:v>
                </c:pt>
                <c:pt idx="13">
                  <c:v>17.128377590270983</c:v>
                </c:pt>
                <c:pt idx="14">
                  <c:v>14.449115192554846</c:v>
                </c:pt>
                <c:pt idx="15">
                  <c:v>12.112257323648185</c:v>
                </c:pt>
                <c:pt idx="16">
                  <c:v>10.203774097144484</c:v>
                </c:pt>
                <c:pt idx="17">
                  <c:v>8.6678471293672512</c:v>
                </c:pt>
                <c:pt idx="18">
                  <c:v>7.3428463014279277</c:v>
                </c:pt>
                <c:pt idx="19">
                  <c:v>6.1291568903023439</c:v>
                </c:pt>
                <c:pt idx="20">
                  <c:v>5.0681801546282443</c:v>
                </c:pt>
                <c:pt idx="21">
                  <c:v>4.2402342387878544</c:v>
                </c:pt>
                <c:pt idx="22">
                  <c:v>3.6230523250606037</c:v>
                </c:pt>
                <c:pt idx="23">
                  <c:v>3.0929262191258253</c:v>
                </c:pt>
                <c:pt idx="24">
                  <c:v>2.5588135779539058</c:v>
                </c:pt>
                <c:pt idx="25">
                  <c:v>2.050916106816036</c:v>
                </c:pt>
                <c:pt idx="26">
                  <c:v>1.6520153615599007</c:v>
                </c:pt>
                <c:pt idx="27">
                  <c:v>1.3664280313019077</c:v>
                </c:pt>
                <c:pt idx="28">
                  <c:v>1.0982874994487055</c:v>
                </c:pt>
                <c:pt idx="29">
                  <c:v>0.7640992114696985</c:v>
                </c:pt>
                <c:pt idx="30">
                  <c:v>0.38976492696079745</c:v>
                </c:pt>
                <c:pt idx="31">
                  <c:v>6.5718525495103819E-2</c:v>
                </c:pt>
                <c:pt idx="32">
                  <c:v>-0.17903730637238269</c:v>
                </c:pt>
                <c:pt idx="33">
                  <c:v>-0.41788766798688926</c:v>
                </c:pt>
                <c:pt idx="34">
                  <c:v>-0.7290633579496486</c:v>
                </c:pt>
                <c:pt idx="35">
                  <c:v>-1.0882458033339972</c:v>
                </c:pt>
                <c:pt idx="36">
                  <c:v>-1.3932795906167286</c:v>
                </c:pt>
                <c:pt idx="37">
                  <c:v>-1.5895666153301704</c:v>
                </c:pt>
                <c:pt idx="38">
                  <c:v>-1.7310702380616156</c:v>
                </c:pt>
                <c:pt idx="39">
                  <c:v>-1.8943926892313918</c:v>
                </c:pt>
                <c:pt idx="40">
                  <c:v>-2.0568532947813161</c:v>
                </c:pt>
                <c:pt idx="41">
                  <c:v>-2.1005424901824234</c:v>
                </c:pt>
                <c:pt idx="42">
                  <c:v>-1.9415193873031562</c:v>
                </c:pt>
                <c:pt idx="43">
                  <c:v>-1.6158584674974783</c:v>
                </c:pt>
                <c:pt idx="44">
                  <c:v>-1.2045775479443357</c:v>
                </c:pt>
                <c:pt idx="45">
                  <c:v>-0.68992467247227296</c:v>
                </c:pt>
                <c:pt idx="46">
                  <c:v>6.6810779987221736E-2</c:v>
                </c:pt>
                <c:pt idx="47">
                  <c:v>1.1875049606191723</c:v>
                </c:pt>
                <c:pt idx="48">
                  <c:v>2.6543802475693994</c:v>
                </c:pt>
                <c:pt idx="49">
                  <c:v>4.3706739379617492</c:v>
                </c:pt>
                <c:pt idx="50">
                  <c:v>6.3392715150726566</c:v>
                </c:pt>
                <c:pt idx="51">
                  <c:v>8.727322379084546</c:v>
                </c:pt>
                <c:pt idx="52">
                  <c:v>11.715226312733687</c:v>
                </c:pt>
                <c:pt idx="53">
                  <c:v>15.30978737843818</c:v>
                </c:pt>
                <c:pt idx="54">
                  <c:v>19.373089224461548</c:v>
                </c:pt>
                <c:pt idx="55">
                  <c:v>23.860966894142145</c:v>
                </c:pt>
                <c:pt idx="56">
                  <c:v>28.980119176938125</c:v>
                </c:pt>
                <c:pt idx="57">
                  <c:v>35.033781680998075</c:v>
                </c:pt>
                <c:pt idx="58">
                  <c:v>42.099556142500013</c:v>
                </c:pt>
                <c:pt idx="59">
                  <c:v>49.929280021066965</c:v>
                </c:pt>
                <c:pt idx="60">
                  <c:v>58.248662374295563</c:v>
                </c:pt>
                <c:pt idx="61">
                  <c:v>67.169105968795918</c:v>
                </c:pt>
                <c:pt idx="62">
                  <c:v>77.231635851926001</c:v>
                </c:pt>
                <c:pt idx="63">
                  <c:v>95.847968459317002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56-4C6F-BDF6-EA34F30CB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5724015"/>
        <c:axId val="775725263"/>
      </c:scatterChart>
      <c:valAx>
        <c:axId val="775724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75725263"/>
        <c:crosses val="autoZero"/>
        <c:crossBetween val="midCat"/>
      </c:valAx>
      <c:valAx>
        <c:axId val="775725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75724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MX">
                <a:latin typeface="Times New Roman" panose="02020603050405020304" pitchFamily="18" charset="0"/>
                <a:cs typeface="Times New Roman" panose="02020603050405020304" pitchFamily="18" charset="0"/>
              </a:rPr>
              <a:t>Comparación función f(x)</a:t>
            </a:r>
            <a:r>
              <a:rPr lang="es-MX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vs. Serie F(x)</a:t>
            </a:r>
            <a:endParaRPr lang="es-MX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Fourier!$BB$4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Fourier!$BA$5:$BA$68</c:f>
              <c:numCache>
                <c:formatCode>General</c:formatCode>
                <c:ptCount val="64"/>
                <c:pt idx="0">
                  <c:v>-3.1415999999999999</c:v>
                </c:pt>
                <c:pt idx="1">
                  <c:v>-3.0415999999999999</c:v>
                </c:pt>
                <c:pt idx="2">
                  <c:v>-2.9416000000000002</c:v>
                </c:pt>
                <c:pt idx="3">
                  <c:v>-2.8416000000000001</c:v>
                </c:pt>
                <c:pt idx="4">
                  <c:v>-2.7416</c:v>
                </c:pt>
                <c:pt idx="5">
                  <c:v>-2.6415999999999999</c:v>
                </c:pt>
                <c:pt idx="6">
                  <c:v>-2.5415999999999999</c:v>
                </c:pt>
                <c:pt idx="7">
                  <c:v>-2.4416000000000002</c:v>
                </c:pt>
                <c:pt idx="8">
                  <c:v>-2.3416000000000001</c:v>
                </c:pt>
                <c:pt idx="9">
                  <c:v>-2.2416</c:v>
                </c:pt>
                <c:pt idx="10">
                  <c:v>-2.1415999999999999</c:v>
                </c:pt>
                <c:pt idx="11">
                  <c:v>-2.0415999999999999</c:v>
                </c:pt>
                <c:pt idx="12">
                  <c:v>-1.9416</c:v>
                </c:pt>
                <c:pt idx="13">
                  <c:v>-1.8415999999999999</c:v>
                </c:pt>
                <c:pt idx="14">
                  <c:v>-1.7416</c:v>
                </c:pt>
                <c:pt idx="15">
                  <c:v>-1.6415999999999999</c:v>
                </c:pt>
                <c:pt idx="16">
                  <c:v>-1.5416000000000001</c:v>
                </c:pt>
                <c:pt idx="17">
                  <c:v>-1.4416</c:v>
                </c:pt>
                <c:pt idx="18">
                  <c:v>-1.3415999999999999</c:v>
                </c:pt>
                <c:pt idx="19">
                  <c:v>-1.2416</c:v>
                </c:pt>
                <c:pt idx="20">
                  <c:v>-1.1415999999999999</c:v>
                </c:pt>
                <c:pt idx="21">
                  <c:v>-1.0416000000000001</c:v>
                </c:pt>
                <c:pt idx="22">
                  <c:v>-0.94159999999999999</c:v>
                </c:pt>
                <c:pt idx="23">
                  <c:v>-0.84160000000000001</c:v>
                </c:pt>
                <c:pt idx="24">
                  <c:v>-0.74160000000000004</c:v>
                </c:pt>
                <c:pt idx="25">
                  <c:v>-0.64159999999999995</c:v>
                </c:pt>
                <c:pt idx="26">
                  <c:v>-0.54159999999999997</c:v>
                </c:pt>
                <c:pt idx="27">
                  <c:v>-0.44159999999999999</c:v>
                </c:pt>
                <c:pt idx="28">
                  <c:v>-0.34160000000000001</c:v>
                </c:pt>
                <c:pt idx="29">
                  <c:v>-0.24160000000000001</c:v>
                </c:pt>
                <c:pt idx="30">
                  <c:v>-0.1416</c:v>
                </c:pt>
                <c:pt idx="31">
                  <c:v>-4.1599999999999901E-2</c:v>
                </c:pt>
                <c:pt idx="32">
                  <c:v>5.8400000000000202E-2</c:v>
                </c:pt>
                <c:pt idx="33">
                  <c:v>0.15840000000000001</c:v>
                </c:pt>
                <c:pt idx="34">
                  <c:v>0.25840000000000002</c:v>
                </c:pt>
                <c:pt idx="35">
                  <c:v>0.3584</c:v>
                </c:pt>
                <c:pt idx="36">
                  <c:v>0.45839999999999997</c:v>
                </c:pt>
                <c:pt idx="37">
                  <c:v>0.55840000000000001</c:v>
                </c:pt>
                <c:pt idx="38">
                  <c:v>0.65839999999999999</c:v>
                </c:pt>
                <c:pt idx="39">
                  <c:v>0.75839999999999996</c:v>
                </c:pt>
                <c:pt idx="40">
                  <c:v>0.85840000000000005</c:v>
                </c:pt>
                <c:pt idx="41">
                  <c:v>0.95840000000000003</c:v>
                </c:pt>
                <c:pt idx="42">
                  <c:v>1.0584</c:v>
                </c:pt>
                <c:pt idx="43">
                  <c:v>1.1584000000000001</c:v>
                </c:pt>
                <c:pt idx="44">
                  <c:v>1.2584</c:v>
                </c:pt>
                <c:pt idx="45">
                  <c:v>1.3584000000000001</c:v>
                </c:pt>
                <c:pt idx="46">
                  <c:v>1.4583999999999999</c:v>
                </c:pt>
                <c:pt idx="47">
                  <c:v>1.5584</c:v>
                </c:pt>
                <c:pt idx="48">
                  <c:v>1.6584000000000001</c:v>
                </c:pt>
                <c:pt idx="49">
                  <c:v>1.7584</c:v>
                </c:pt>
                <c:pt idx="50">
                  <c:v>1.8584000000000001</c:v>
                </c:pt>
                <c:pt idx="51">
                  <c:v>1.9583999999999999</c:v>
                </c:pt>
                <c:pt idx="52">
                  <c:v>2.0583999999999998</c:v>
                </c:pt>
                <c:pt idx="53">
                  <c:v>2.1583999999999999</c:v>
                </c:pt>
                <c:pt idx="54">
                  <c:v>2.2584</c:v>
                </c:pt>
                <c:pt idx="55">
                  <c:v>2.3584000000000098</c:v>
                </c:pt>
                <c:pt idx="56">
                  <c:v>2.4584000000000001</c:v>
                </c:pt>
                <c:pt idx="57">
                  <c:v>2.5583999999999998</c:v>
                </c:pt>
                <c:pt idx="58">
                  <c:v>2.6584000000000101</c:v>
                </c:pt>
                <c:pt idx="59">
                  <c:v>2.7584000000000102</c:v>
                </c:pt>
                <c:pt idx="60">
                  <c:v>2.8584000000000098</c:v>
                </c:pt>
                <c:pt idx="61">
                  <c:v>2.9584000000000001</c:v>
                </c:pt>
                <c:pt idx="62">
                  <c:v>3.05840000000001</c:v>
                </c:pt>
                <c:pt idx="63">
                  <c:v>3.1415999999999999</c:v>
                </c:pt>
              </c:numCache>
            </c:numRef>
          </c:xVal>
          <c:yVal>
            <c:numRef>
              <c:f>Fourier!$BB$5:$BB$68</c:f>
              <c:numCache>
                <c:formatCode>General</c:formatCode>
                <c:ptCount val="64"/>
                <c:pt idx="0">
                  <c:v>95.843560613227041</c:v>
                </c:pt>
                <c:pt idx="1">
                  <c:v>94.251625002259473</c:v>
                </c:pt>
                <c:pt idx="2">
                  <c:v>84.120263387837284</c:v>
                </c:pt>
                <c:pt idx="3">
                  <c:v>74.110855625320497</c:v>
                </c:pt>
                <c:pt idx="4">
                  <c:v>64.714752147585685</c:v>
                </c:pt>
                <c:pt idx="5">
                  <c:v>56.381658844351051</c:v>
                </c:pt>
                <c:pt idx="6">
                  <c:v>49.222387210138592</c:v>
                </c:pt>
                <c:pt idx="7">
                  <c:v>42.957758796229882</c:v>
                </c:pt>
                <c:pt idx="8">
                  <c:v>37.243927605237552</c:v>
                </c:pt>
                <c:pt idx="9">
                  <c:v>31.991393216978189</c:v>
                </c:pt>
                <c:pt idx="10">
                  <c:v>27.345709778345366</c:v>
                </c:pt>
                <c:pt idx="11">
                  <c:v>23.412820817813412</c:v>
                </c:pt>
                <c:pt idx="12">
                  <c:v>20.080952209545611</c:v>
                </c:pt>
                <c:pt idx="13">
                  <c:v>17.128377590270983</c:v>
                </c:pt>
                <c:pt idx="14">
                  <c:v>14.449115192554846</c:v>
                </c:pt>
                <c:pt idx="15">
                  <c:v>12.112257323648185</c:v>
                </c:pt>
                <c:pt idx="16">
                  <c:v>10.203774097144484</c:v>
                </c:pt>
                <c:pt idx="17">
                  <c:v>8.6678471293672512</c:v>
                </c:pt>
                <c:pt idx="18">
                  <c:v>7.3428463014279277</c:v>
                </c:pt>
                <c:pt idx="19">
                  <c:v>6.1291568903023439</c:v>
                </c:pt>
                <c:pt idx="20">
                  <c:v>5.0681801546282443</c:v>
                </c:pt>
                <c:pt idx="21">
                  <c:v>4.2402342387878544</c:v>
                </c:pt>
                <c:pt idx="22">
                  <c:v>3.6230523250606037</c:v>
                </c:pt>
                <c:pt idx="23">
                  <c:v>3.0929262191258253</c:v>
                </c:pt>
                <c:pt idx="24">
                  <c:v>2.5588135779539058</c:v>
                </c:pt>
                <c:pt idx="25">
                  <c:v>2.050916106816036</c:v>
                </c:pt>
                <c:pt idx="26">
                  <c:v>1.6520153615599007</c:v>
                </c:pt>
                <c:pt idx="27">
                  <c:v>1.3664280313019077</c:v>
                </c:pt>
                <c:pt idx="28">
                  <c:v>1.0982874994487055</c:v>
                </c:pt>
                <c:pt idx="29">
                  <c:v>0.7640992114696985</c:v>
                </c:pt>
                <c:pt idx="30">
                  <c:v>0.38976492696079745</c:v>
                </c:pt>
                <c:pt idx="31">
                  <c:v>6.5718525495103819E-2</c:v>
                </c:pt>
                <c:pt idx="32">
                  <c:v>-0.17903730637238269</c:v>
                </c:pt>
                <c:pt idx="33">
                  <c:v>-0.41788766798688926</c:v>
                </c:pt>
                <c:pt idx="34">
                  <c:v>-0.7290633579496486</c:v>
                </c:pt>
                <c:pt idx="35">
                  <c:v>-1.0882458033339972</c:v>
                </c:pt>
                <c:pt idx="36">
                  <c:v>-1.3932795906167286</c:v>
                </c:pt>
                <c:pt idx="37">
                  <c:v>-1.5895666153301704</c:v>
                </c:pt>
                <c:pt idx="38">
                  <c:v>-1.7310702380616156</c:v>
                </c:pt>
                <c:pt idx="39">
                  <c:v>-1.8943926892313918</c:v>
                </c:pt>
                <c:pt idx="40">
                  <c:v>-2.0568532947813161</c:v>
                </c:pt>
                <c:pt idx="41">
                  <c:v>-2.1005424901824234</c:v>
                </c:pt>
                <c:pt idx="42">
                  <c:v>-1.9415193873031562</c:v>
                </c:pt>
                <c:pt idx="43">
                  <c:v>-1.6158584674974783</c:v>
                </c:pt>
                <c:pt idx="44">
                  <c:v>-1.2045775479443357</c:v>
                </c:pt>
                <c:pt idx="45">
                  <c:v>-0.68992467247227296</c:v>
                </c:pt>
                <c:pt idx="46">
                  <c:v>6.6810779987221736E-2</c:v>
                </c:pt>
                <c:pt idx="47">
                  <c:v>1.1875049606191723</c:v>
                </c:pt>
                <c:pt idx="48">
                  <c:v>2.6543802475693994</c:v>
                </c:pt>
                <c:pt idx="49">
                  <c:v>4.3706739379617492</c:v>
                </c:pt>
                <c:pt idx="50">
                  <c:v>6.3392715150726566</c:v>
                </c:pt>
                <c:pt idx="51">
                  <c:v>8.727322379084546</c:v>
                </c:pt>
                <c:pt idx="52">
                  <c:v>11.715226312733687</c:v>
                </c:pt>
                <c:pt idx="53">
                  <c:v>15.30978737843818</c:v>
                </c:pt>
                <c:pt idx="54">
                  <c:v>19.373089224461548</c:v>
                </c:pt>
                <c:pt idx="55">
                  <c:v>23.860966894142145</c:v>
                </c:pt>
                <c:pt idx="56">
                  <c:v>28.980119176938125</c:v>
                </c:pt>
                <c:pt idx="57">
                  <c:v>35.033781680998075</c:v>
                </c:pt>
                <c:pt idx="58">
                  <c:v>42.099556142500013</c:v>
                </c:pt>
                <c:pt idx="59">
                  <c:v>49.929280021066965</c:v>
                </c:pt>
                <c:pt idx="60">
                  <c:v>58.248662374295563</c:v>
                </c:pt>
                <c:pt idx="61">
                  <c:v>67.169105968795918</c:v>
                </c:pt>
                <c:pt idx="62">
                  <c:v>77.231635851926001</c:v>
                </c:pt>
                <c:pt idx="63">
                  <c:v>95.847968459317002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6B2-4E56-BF93-F42D0C9C0C45}"/>
            </c:ext>
          </c:extLst>
        </c:ser>
        <c:ser>
          <c:idx val="1"/>
          <c:order val="1"/>
          <c:tx>
            <c:strRef>
              <c:f>Fourier!$BC$4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Fourier!$BA$5:$BA$68</c:f>
              <c:numCache>
                <c:formatCode>General</c:formatCode>
                <c:ptCount val="64"/>
                <c:pt idx="0">
                  <c:v>-3.1415999999999999</c:v>
                </c:pt>
                <c:pt idx="1">
                  <c:v>-3.0415999999999999</c:v>
                </c:pt>
                <c:pt idx="2">
                  <c:v>-2.9416000000000002</c:v>
                </c:pt>
                <c:pt idx="3">
                  <c:v>-2.8416000000000001</c:v>
                </c:pt>
                <c:pt idx="4">
                  <c:v>-2.7416</c:v>
                </c:pt>
                <c:pt idx="5">
                  <c:v>-2.6415999999999999</c:v>
                </c:pt>
                <c:pt idx="6">
                  <c:v>-2.5415999999999999</c:v>
                </c:pt>
                <c:pt idx="7">
                  <c:v>-2.4416000000000002</c:v>
                </c:pt>
                <c:pt idx="8">
                  <c:v>-2.3416000000000001</c:v>
                </c:pt>
                <c:pt idx="9">
                  <c:v>-2.2416</c:v>
                </c:pt>
                <c:pt idx="10">
                  <c:v>-2.1415999999999999</c:v>
                </c:pt>
                <c:pt idx="11">
                  <c:v>-2.0415999999999999</c:v>
                </c:pt>
                <c:pt idx="12">
                  <c:v>-1.9416</c:v>
                </c:pt>
                <c:pt idx="13">
                  <c:v>-1.8415999999999999</c:v>
                </c:pt>
                <c:pt idx="14">
                  <c:v>-1.7416</c:v>
                </c:pt>
                <c:pt idx="15">
                  <c:v>-1.6415999999999999</c:v>
                </c:pt>
                <c:pt idx="16">
                  <c:v>-1.5416000000000001</c:v>
                </c:pt>
                <c:pt idx="17">
                  <c:v>-1.4416</c:v>
                </c:pt>
                <c:pt idx="18">
                  <c:v>-1.3415999999999999</c:v>
                </c:pt>
                <c:pt idx="19">
                  <c:v>-1.2416</c:v>
                </c:pt>
                <c:pt idx="20">
                  <c:v>-1.1415999999999999</c:v>
                </c:pt>
                <c:pt idx="21">
                  <c:v>-1.0416000000000001</c:v>
                </c:pt>
                <c:pt idx="22">
                  <c:v>-0.94159999999999999</c:v>
                </c:pt>
                <c:pt idx="23">
                  <c:v>-0.84160000000000001</c:v>
                </c:pt>
                <c:pt idx="24">
                  <c:v>-0.74160000000000004</c:v>
                </c:pt>
                <c:pt idx="25">
                  <c:v>-0.64159999999999995</c:v>
                </c:pt>
                <c:pt idx="26">
                  <c:v>-0.54159999999999997</c:v>
                </c:pt>
                <c:pt idx="27">
                  <c:v>-0.44159999999999999</c:v>
                </c:pt>
                <c:pt idx="28">
                  <c:v>-0.34160000000000001</c:v>
                </c:pt>
                <c:pt idx="29">
                  <c:v>-0.24160000000000001</c:v>
                </c:pt>
                <c:pt idx="30">
                  <c:v>-0.1416</c:v>
                </c:pt>
                <c:pt idx="31">
                  <c:v>-4.1599999999999901E-2</c:v>
                </c:pt>
                <c:pt idx="32">
                  <c:v>5.8400000000000202E-2</c:v>
                </c:pt>
                <c:pt idx="33">
                  <c:v>0.15840000000000001</c:v>
                </c:pt>
                <c:pt idx="34">
                  <c:v>0.25840000000000002</c:v>
                </c:pt>
                <c:pt idx="35">
                  <c:v>0.3584</c:v>
                </c:pt>
                <c:pt idx="36">
                  <c:v>0.45839999999999997</c:v>
                </c:pt>
                <c:pt idx="37">
                  <c:v>0.55840000000000001</c:v>
                </c:pt>
                <c:pt idx="38">
                  <c:v>0.65839999999999999</c:v>
                </c:pt>
                <c:pt idx="39">
                  <c:v>0.75839999999999996</c:v>
                </c:pt>
                <c:pt idx="40">
                  <c:v>0.85840000000000005</c:v>
                </c:pt>
                <c:pt idx="41">
                  <c:v>0.95840000000000003</c:v>
                </c:pt>
                <c:pt idx="42">
                  <c:v>1.0584</c:v>
                </c:pt>
                <c:pt idx="43">
                  <c:v>1.1584000000000001</c:v>
                </c:pt>
                <c:pt idx="44">
                  <c:v>1.2584</c:v>
                </c:pt>
                <c:pt idx="45">
                  <c:v>1.3584000000000001</c:v>
                </c:pt>
                <c:pt idx="46">
                  <c:v>1.4583999999999999</c:v>
                </c:pt>
                <c:pt idx="47">
                  <c:v>1.5584</c:v>
                </c:pt>
                <c:pt idx="48">
                  <c:v>1.6584000000000001</c:v>
                </c:pt>
                <c:pt idx="49">
                  <c:v>1.7584</c:v>
                </c:pt>
                <c:pt idx="50">
                  <c:v>1.8584000000000001</c:v>
                </c:pt>
                <c:pt idx="51">
                  <c:v>1.9583999999999999</c:v>
                </c:pt>
                <c:pt idx="52">
                  <c:v>2.0583999999999998</c:v>
                </c:pt>
                <c:pt idx="53">
                  <c:v>2.1583999999999999</c:v>
                </c:pt>
                <c:pt idx="54">
                  <c:v>2.2584</c:v>
                </c:pt>
                <c:pt idx="55">
                  <c:v>2.3584000000000098</c:v>
                </c:pt>
                <c:pt idx="56">
                  <c:v>2.4584000000000001</c:v>
                </c:pt>
                <c:pt idx="57">
                  <c:v>2.5583999999999998</c:v>
                </c:pt>
                <c:pt idx="58">
                  <c:v>2.6584000000000101</c:v>
                </c:pt>
                <c:pt idx="59">
                  <c:v>2.7584000000000102</c:v>
                </c:pt>
                <c:pt idx="60">
                  <c:v>2.8584000000000098</c:v>
                </c:pt>
                <c:pt idx="61">
                  <c:v>2.9584000000000001</c:v>
                </c:pt>
                <c:pt idx="62">
                  <c:v>3.05840000000001</c:v>
                </c:pt>
                <c:pt idx="63">
                  <c:v>3.1415999999999999</c:v>
                </c:pt>
              </c:numCache>
            </c:numRef>
          </c:xVal>
          <c:yVal>
            <c:numRef>
              <c:f>Fourier!$BC$5:$BC$68</c:f>
              <c:numCache>
                <c:formatCode>General</c:formatCode>
                <c:ptCount val="64"/>
                <c:pt idx="0">
                  <c:v>106.83480217650832</c:v>
                </c:pt>
                <c:pt idx="1">
                  <c:v>94.711917130389907</c:v>
                </c:pt>
                <c:pt idx="2">
                  <c:v>83.699391751471538</c:v>
                </c:pt>
                <c:pt idx="3">
                  <c:v>73.725427639753121</c:v>
                </c:pt>
                <c:pt idx="4">
                  <c:v>64.720626395234717</c:v>
                </c:pt>
                <c:pt idx="5">
                  <c:v>56.617989617916308</c:v>
                </c:pt>
                <c:pt idx="6">
                  <c:v>49.352918907797907</c:v>
                </c:pt>
                <c:pt idx="7">
                  <c:v>42.863215864879528</c:v>
                </c:pt>
                <c:pt idx="8">
                  <c:v>37.089082089161124</c:v>
                </c:pt>
                <c:pt idx="9">
                  <c:v>31.973119180642719</c:v>
                </c:pt>
                <c:pt idx="10">
                  <c:v>27.460328739324311</c:v>
                </c:pt>
                <c:pt idx="11">
                  <c:v>23.498112365205913</c:v>
                </c:pt>
                <c:pt idx="12">
                  <c:v>20.036271658287511</c:v>
                </c:pt>
                <c:pt idx="13">
                  <c:v>17.027008218569112</c:v>
                </c:pt>
                <c:pt idx="14">
                  <c:v>14.424923646050715</c:v>
                </c:pt>
                <c:pt idx="15">
                  <c:v>12.187019540732312</c:v>
                </c:pt>
                <c:pt idx="16">
                  <c:v>10.272697502613916</c:v>
                </c:pt>
                <c:pt idx="17">
                  <c:v>8.6437591316955142</c:v>
                </c:pt>
                <c:pt idx="18">
                  <c:v>7.2644060279771123</c:v>
                </c:pt>
                <c:pt idx="19">
                  <c:v>6.1012397914587133</c:v>
                </c:pt>
                <c:pt idx="20">
                  <c:v>5.1232620221403131</c:v>
                </c:pt>
                <c:pt idx="21">
                  <c:v>4.3018743200219145</c:v>
                </c:pt>
                <c:pt idx="22">
                  <c:v>3.6108782851035133</c:v>
                </c:pt>
                <c:pt idx="23">
                  <c:v>3.0264755173851134</c:v>
                </c:pt>
                <c:pt idx="24">
                  <c:v>2.5272676168667139</c:v>
                </c:pt>
                <c:pt idx="25">
                  <c:v>2.0942561835483136</c:v>
                </c:pt>
                <c:pt idx="26">
                  <c:v>1.7108428174299135</c:v>
                </c:pt>
                <c:pt idx="27">
                  <c:v>1.3628291185115136</c:v>
                </c:pt>
                <c:pt idx="28">
                  <c:v>1.0384166867931135</c:v>
                </c:pt>
                <c:pt idx="29">
                  <c:v>0.72820712227471363</c:v>
                </c:pt>
                <c:pt idx="30">
                  <c:v>0.4252020249563136</c:v>
                </c:pt>
                <c:pt idx="31">
                  <c:v>0.12480299483791331</c:v>
                </c:pt>
                <c:pt idx="32">
                  <c:v>-0.17518836808048702</c:v>
                </c:pt>
                <c:pt idx="33">
                  <c:v>-0.47457046379888645</c:v>
                </c:pt>
                <c:pt idx="34">
                  <c:v>-0.77074169231728651</c:v>
                </c:pt>
                <c:pt idx="35">
                  <c:v>-1.0587004536356863</c:v>
                </c:pt>
                <c:pt idx="36">
                  <c:v>-1.3310451477540863</c:v>
                </c:pt>
                <c:pt idx="37">
                  <c:v>-1.5779741746724865</c:v>
                </c:pt>
                <c:pt idx="38">
                  <c:v>-1.7872859343908865</c:v>
                </c:pt>
                <c:pt idx="39">
                  <c:v>-1.9443788269092863</c:v>
                </c:pt>
                <c:pt idx="40">
                  <c:v>-2.0322512522276863</c:v>
                </c:pt>
                <c:pt idx="41">
                  <c:v>-2.0315016103460861</c:v>
                </c:pt>
                <c:pt idx="42">
                  <c:v>-1.9203283012644865</c:v>
                </c:pt>
                <c:pt idx="43">
                  <c:v>-1.6745297249828861</c:v>
                </c:pt>
                <c:pt idx="44">
                  <c:v>-1.2675042815012869</c:v>
                </c:pt>
                <c:pt idx="45">
                  <c:v>-0.6702503708196863</c:v>
                </c:pt>
                <c:pt idx="46">
                  <c:v>0.14863360706191386</c:v>
                </c:pt>
                <c:pt idx="47">
                  <c:v>1.2229492521435139</c:v>
                </c:pt>
                <c:pt idx="48">
                  <c:v>2.5888981644251148</c:v>
                </c:pt>
                <c:pt idx="49">
                  <c:v>4.2850819439067145</c:v>
                </c:pt>
                <c:pt idx="50">
                  <c:v>6.3525021905883143</c:v>
                </c:pt>
                <c:pt idx="51">
                  <c:v>8.8345605044699109</c:v>
                </c:pt>
                <c:pt idx="52">
                  <c:v>11.777058485551503</c:v>
                </c:pt>
                <c:pt idx="53">
                  <c:v>15.228197733833108</c:v>
                </c:pt>
                <c:pt idx="54">
                  <c:v>19.238579849314711</c:v>
                </c:pt>
                <c:pt idx="55">
                  <c:v>23.861206431996798</c:v>
                </c:pt>
                <c:pt idx="56">
                  <c:v>29.15147908187793</c:v>
                </c:pt>
                <c:pt idx="57">
                  <c:v>35.167199398959504</c:v>
                </c:pt>
                <c:pt idx="58">
                  <c:v>41.968568983241845</c:v>
                </c:pt>
                <c:pt idx="59">
                  <c:v>49.618189434723533</c:v>
                </c:pt>
                <c:pt idx="60">
                  <c:v>58.181062353405203</c:v>
                </c:pt>
                <c:pt idx="61">
                  <c:v>67.724589339285927</c:v>
                </c:pt>
                <c:pt idx="62">
                  <c:v>78.318571992368632</c:v>
                </c:pt>
                <c:pt idx="63">
                  <c:v>87.985202176508309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6B2-4E56-BF93-F42D0C9C0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0854831"/>
        <c:axId val="1420854415"/>
      </c:scatterChart>
      <c:valAx>
        <c:axId val="1420854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20854415"/>
        <c:crosses val="autoZero"/>
        <c:crossBetween val="midCat"/>
      </c:valAx>
      <c:valAx>
        <c:axId val="142085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208548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Fourier!$BB$4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Fourier!$BA$5:$BA$68</c:f>
              <c:numCache>
                <c:formatCode>General</c:formatCode>
                <c:ptCount val="64"/>
                <c:pt idx="0">
                  <c:v>-3.1415999999999999</c:v>
                </c:pt>
                <c:pt idx="1">
                  <c:v>-3.0415999999999999</c:v>
                </c:pt>
                <c:pt idx="2">
                  <c:v>-2.9416000000000002</c:v>
                </c:pt>
                <c:pt idx="3">
                  <c:v>-2.8416000000000001</c:v>
                </c:pt>
                <c:pt idx="4">
                  <c:v>-2.7416</c:v>
                </c:pt>
                <c:pt idx="5">
                  <c:v>-2.6415999999999999</c:v>
                </c:pt>
                <c:pt idx="6">
                  <c:v>-2.5415999999999999</c:v>
                </c:pt>
                <c:pt idx="7">
                  <c:v>-2.4416000000000002</c:v>
                </c:pt>
                <c:pt idx="8">
                  <c:v>-2.3416000000000001</c:v>
                </c:pt>
                <c:pt idx="9">
                  <c:v>-2.2416</c:v>
                </c:pt>
                <c:pt idx="10">
                  <c:v>-2.1415999999999999</c:v>
                </c:pt>
                <c:pt idx="11">
                  <c:v>-2.0415999999999999</c:v>
                </c:pt>
                <c:pt idx="12">
                  <c:v>-1.9416</c:v>
                </c:pt>
                <c:pt idx="13">
                  <c:v>-1.8415999999999999</c:v>
                </c:pt>
                <c:pt idx="14">
                  <c:v>-1.7416</c:v>
                </c:pt>
                <c:pt idx="15">
                  <c:v>-1.6415999999999999</c:v>
                </c:pt>
                <c:pt idx="16">
                  <c:v>-1.5416000000000001</c:v>
                </c:pt>
                <c:pt idx="17">
                  <c:v>-1.4416</c:v>
                </c:pt>
                <c:pt idx="18">
                  <c:v>-1.3415999999999999</c:v>
                </c:pt>
                <c:pt idx="19">
                  <c:v>-1.2416</c:v>
                </c:pt>
                <c:pt idx="20">
                  <c:v>-1.1415999999999999</c:v>
                </c:pt>
                <c:pt idx="21">
                  <c:v>-1.0416000000000001</c:v>
                </c:pt>
                <c:pt idx="22">
                  <c:v>-0.94159999999999999</c:v>
                </c:pt>
                <c:pt idx="23">
                  <c:v>-0.84160000000000001</c:v>
                </c:pt>
                <c:pt idx="24">
                  <c:v>-0.74160000000000004</c:v>
                </c:pt>
                <c:pt idx="25">
                  <c:v>-0.64159999999999995</c:v>
                </c:pt>
                <c:pt idx="26">
                  <c:v>-0.54159999999999997</c:v>
                </c:pt>
                <c:pt idx="27">
                  <c:v>-0.44159999999999999</c:v>
                </c:pt>
                <c:pt idx="28">
                  <c:v>-0.34160000000000001</c:v>
                </c:pt>
                <c:pt idx="29">
                  <c:v>-0.24160000000000001</c:v>
                </c:pt>
                <c:pt idx="30">
                  <c:v>-0.1416</c:v>
                </c:pt>
                <c:pt idx="31">
                  <c:v>-4.1599999999999901E-2</c:v>
                </c:pt>
                <c:pt idx="32">
                  <c:v>5.8400000000000202E-2</c:v>
                </c:pt>
                <c:pt idx="33">
                  <c:v>0.15840000000000001</c:v>
                </c:pt>
                <c:pt idx="34">
                  <c:v>0.25840000000000002</c:v>
                </c:pt>
                <c:pt idx="35">
                  <c:v>0.3584</c:v>
                </c:pt>
                <c:pt idx="36">
                  <c:v>0.45839999999999997</c:v>
                </c:pt>
                <c:pt idx="37">
                  <c:v>0.55840000000000001</c:v>
                </c:pt>
                <c:pt idx="38">
                  <c:v>0.65839999999999999</c:v>
                </c:pt>
                <c:pt idx="39">
                  <c:v>0.75839999999999996</c:v>
                </c:pt>
                <c:pt idx="40">
                  <c:v>0.85840000000000005</c:v>
                </c:pt>
                <c:pt idx="41">
                  <c:v>0.95840000000000003</c:v>
                </c:pt>
                <c:pt idx="42">
                  <c:v>1.0584</c:v>
                </c:pt>
                <c:pt idx="43">
                  <c:v>1.1584000000000001</c:v>
                </c:pt>
                <c:pt idx="44">
                  <c:v>1.2584</c:v>
                </c:pt>
                <c:pt idx="45">
                  <c:v>1.3584000000000001</c:v>
                </c:pt>
                <c:pt idx="46">
                  <c:v>1.4583999999999999</c:v>
                </c:pt>
                <c:pt idx="47">
                  <c:v>1.5584</c:v>
                </c:pt>
                <c:pt idx="48">
                  <c:v>1.6584000000000001</c:v>
                </c:pt>
                <c:pt idx="49">
                  <c:v>1.7584</c:v>
                </c:pt>
                <c:pt idx="50">
                  <c:v>1.8584000000000001</c:v>
                </c:pt>
                <c:pt idx="51">
                  <c:v>1.9583999999999999</c:v>
                </c:pt>
                <c:pt idx="52">
                  <c:v>2.0583999999999998</c:v>
                </c:pt>
                <c:pt idx="53">
                  <c:v>2.1583999999999999</c:v>
                </c:pt>
                <c:pt idx="54">
                  <c:v>2.2584</c:v>
                </c:pt>
                <c:pt idx="55">
                  <c:v>2.3584000000000098</c:v>
                </c:pt>
                <c:pt idx="56">
                  <c:v>2.4584000000000001</c:v>
                </c:pt>
                <c:pt idx="57">
                  <c:v>2.5583999999999998</c:v>
                </c:pt>
                <c:pt idx="58">
                  <c:v>2.6584000000000101</c:v>
                </c:pt>
                <c:pt idx="59">
                  <c:v>2.7584000000000102</c:v>
                </c:pt>
                <c:pt idx="60">
                  <c:v>2.8584000000000098</c:v>
                </c:pt>
                <c:pt idx="61">
                  <c:v>2.9584000000000001</c:v>
                </c:pt>
                <c:pt idx="62">
                  <c:v>3.05840000000001</c:v>
                </c:pt>
                <c:pt idx="63">
                  <c:v>3.1415999999999999</c:v>
                </c:pt>
              </c:numCache>
            </c:numRef>
          </c:xVal>
          <c:yVal>
            <c:numRef>
              <c:f>Fourier!$BB$5:$BB$68</c:f>
              <c:numCache>
                <c:formatCode>General</c:formatCode>
                <c:ptCount val="64"/>
                <c:pt idx="0">
                  <c:v>95.843560613227041</c:v>
                </c:pt>
                <c:pt idx="1">
                  <c:v>94.251625002259473</c:v>
                </c:pt>
                <c:pt idx="2">
                  <c:v>84.120263387837284</c:v>
                </c:pt>
                <c:pt idx="3">
                  <c:v>74.110855625320497</c:v>
                </c:pt>
                <c:pt idx="4">
                  <c:v>64.714752147585685</c:v>
                </c:pt>
                <c:pt idx="5">
                  <c:v>56.381658844351051</c:v>
                </c:pt>
                <c:pt idx="6">
                  <c:v>49.222387210138592</c:v>
                </c:pt>
                <c:pt idx="7">
                  <c:v>42.957758796229882</c:v>
                </c:pt>
                <c:pt idx="8">
                  <c:v>37.243927605237552</c:v>
                </c:pt>
                <c:pt idx="9">
                  <c:v>31.991393216978189</c:v>
                </c:pt>
                <c:pt idx="10">
                  <c:v>27.345709778345366</c:v>
                </c:pt>
                <c:pt idx="11">
                  <c:v>23.412820817813412</c:v>
                </c:pt>
                <c:pt idx="12">
                  <c:v>20.080952209545611</c:v>
                </c:pt>
                <c:pt idx="13">
                  <c:v>17.128377590270983</c:v>
                </c:pt>
                <c:pt idx="14">
                  <c:v>14.449115192554846</c:v>
                </c:pt>
                <c:pt idx="15">
                  <c:v>12.112257323648185</c:v>
                </c:pt>
                <c:pt idx="16">
                  <c:v>10.203774097144484</c:v>
                </c:pt>
                <c:pt idx="17">
                  <c:v>8.6678471293672512</c:v>
                </c:pt>
                <c:pt idx="18">
                  <c:v>7.3428463014279277</c:v>
                </c:pt>
                <c:pt idx="19">
                  <c:v>6.1291568903023439</c:v>
                </c:pt>
                <c:pt idx="20">
                  <c:v>5.0681801546282443</c:v>
                </c:pt>
                <c:pt idx="21">
                  <c:v>4.2402342387878544</c:v>
                </c:pt>
                <c:pt idx="22">
                  <c:v>3.6230523250606037</c:v>
                </c:pt>
                <c:pt idx="23">
                  <c:v>3.0929262191258253</c:v>
                </c:pt>
                <c:pt idx="24">
                  <c:v>2.5588135779539058</c:v>
                </c:pt>
                <c:pt idx="25">
                  <c:v>2.050916106816036</c:v>
                </c:pt>
                <c:pt idx="26">
                  <c:v>1.6520153615599007</c:v>
                </c:pt>
                <c:pt idx="27">
                  <c:v>1.3664280313019077</c:v>
                </c:pt>
                <c:pt idx="28">
                  <c:v>1.0982874994487055</c:v>
                </c:pt>
                <c:pt idx="29">
                  <c:v>0.7640992114696985</c:v>
                </c:pt>
                <c:pt idx="30">
                  <c:v>0.38976492696079745</c:v>
                </c:pt>
                <c:pt idx="31">
                  <c:v>6.5718525495103819E-2</c:v>
                </c:pt>
                <c:pt idx="32">
                  <c:v>-0.17903730637238269</c:v>
                </c:pt>
                <c:pt idx="33">
                  <c:v>-0.41788766798688926</c:v>
                </c:pt>
                <c:pt idx="34">
                  <c:v>-0.7290633579496486</c:v>
                </c:pt>
                <c:pt idx="35">
                  <c:v>-1.0882458033339972</c:v>
                </c:pt>
                <c:pt idx="36">
                  <c:v>-1.3932795906167286</c:v>
                </c:pt>
                <c:pt idx="37">
                  <c:v>-1.5895666153301704</c:v>
                </c:pt>
                <c:pt idx="38">
                  <c:v>-1.7310702380616156</c:v>
                </c:pt>
                <c:pt idx="39">
                  <c:v>-1.8943926892313918</c:v>
                </c:pt>
                <c:pt idx="40">
                  <c:v>-2.0568532947813161</c:v>
                </c:pt>
                <c:pt idx="41">
                  <c:v>-2.1005424901824234</c:v>
                </c:pt>
                <c:pt idx="42">
                  <c:v>-1.9415193873031562</c:v>
                </c:pt>
                <c:pt idx="43">
                  <c:v>-1.6158584674974783</c:v>
                </c:pt>
                <c:pt idx="44">
                  <c:v>-1.2045775479443357</c:v>
                </c:pt>
                <c:pt idx="45">
                  <c:v>-0.68992467247227296</c:v>
                </c:pt>
                <c:pt idx="46">
                  <c:v>6.6810779987221736E-2</c:v>
                </c:pt>
                <c:pt idx="47">
                  <c:v>1.1875049606191723</c:v>
                </c:pt>
                <c:pt idx="48">
                  <c:v>2.6543802475693994</c:v>
                </c:pt>
                <c:pt idx="49">
                  <c:v>4.3706739379617492</c:v>
                </c:pt>
                <c:pt idx="50">
                  <c:v>6.3392715150726566</c:v>
                </c:pt>
                <c:pt idx="51">
                  <c:v>8.727322379084546</c:v>
                </c:pt>
                <c:pt idx="52">
                  <c:v>11.715226312733687</c:v>
                </c:pt>
                <c:pt idx="53">
                  <c:v>15.30978737843818</c:v>
                </c:pt>
                <c:pt idx="54">
                  <c:v>19.373089224461548</c:v>
                </c:pt>
                <c:pt idx="55">
                  <c:v>23.860966894142145</c:v>
                </c:pt>
                <c:pt idx="56">
                  <c:v>28.980119176938125</c:v>
                </c:pt>
                <c:pt idx="57">
                  <c:v>35.033781680998075</c:v>
                </c:pt>
                <c:pt idx="58">
                  <c:v>42.099556142500013</c:v>
                </c:pt>
                <c:pt idx="59">
                  <c:v>49.929280021066965</c:v>
                </c:pt>
                <c:pt idx="60">
                  <c:v>58.248662374295563</c:v>
                </c:pt>
                <c:pt idx="61">
                  <c:v>67.169105968795918</c:v>
                </c:pt>
                <c:pt idx="62">
                  <c:v>77.231635851926001</c:v>
                </c:pt>
                <c:pt idx="63">
                  <c:v>95.847968459317002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C3-4D9D-8542-E78B63FEE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5724015"/>
        <c:axId val="775725263"/>
      </c:scatterChart>
      <c:valAx>
        <c:axId val="775724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75725263"/>
        <c:crosses val="autoZero"/>
        <c:crossBetween val="midCat"/>
      </c:valAx>
      <c:valAx>
        <c:axId val="775725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75724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647700</xdr:colOff>
      <xdr:row>3</xdr:row>
      <xdr:rowOff>38100</xdr:rowOff>
    </xdr:from>
    <xdr:to>
      <xdr:col>8</xdr:col>
      <xdr:colOff>647700</xdr:colOff>
      <xdr:row>17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609600</xdr:colOff>
      <xdr:row>3</xdr:row>
      <xdr:rowOff>0</xdr:rowOff>
    </xdr:from>
    <xdr:to>
      <xdr:col>15</xdr:col>
      <xdr:colOff>609600</xdr:colOff>
      <xdr:row>17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18</xdr:row>
      <xdr:rowOff>161924</xdr:rowOff>
    </xdr:from>
    <xdr:to>
      <xdr:col>15</xdr:col>
      <xdr:colOff>198120</xdr:colOff>
      <xdr:row>42</xdr:row>
      <xdr:rowOff>83820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56</xdr:col>
      <xdr:colOff>289560</xdr:colOff>
      <xdr:row>4</xdr:row>
      <xdr:rowOff>131445</xdr:rowOff>
    </xdr:from>
    <xdr:to>
      <xdr:col>62</xdr:col>
      <xdr:colOff>289560</xdr:colOff>
      <xdr:row>19</xdr:row>
      <xdr:rowOff>24765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8"/>
  <sheetViews>
    <sheetView tabSelected="1" topLeftCell="A19" zoomScaleNormal="100" workbookViewId="0">
      <selection activeCell="E32" sqref="E32"/>
    </sheetView>
  </sheetViews>
  <sheetFormatPr baseColWidth="10" defaultRowHeight="14.4" x14ac:dyDescent="0.3"/>
  <cols>
    <col min="2" max="2" width="11.88671875" bestFit="1" customWidth="1"/>
  </cols>
  <sheetData>
    <row r="1" spans="1:26" ht="15" thickBot="1" x14ac:dyDescent="0.35">
      <c r="A1" s="8" t="s">
        <v>4</v>
      </c>
      <c r="B1" s="9"/>
    </row>
    <row r="2" spans="1:26" x14ac:dyDescent="0.3">
      <c r="H2" s="7"/>
    </row>
    <row r="3" spans="1:26" ht="15" thickBot="1" x14ac:dyDescent="0.3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thickBot="1" x14ac:dyDescent="0.35">
      <c r="A4" s="20" t="s">
        <v>0</v>
      </c>
      <c r="B4" s="22" t="s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35">
        <v>-3.1415999999999999</v>
      </c>
      <c r="B5" s="35">
        <f xml:space="preserve"> (POWER(A5,4))-(3*A5)</f>
        <v>106.83480217650832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26" x14ac:dyDescent="0.3">
      <c r="A6" s="3">
        <v>-3.0415999999999999</v>
      </c>
      <c r="B6" s="3">
        <f t="shared" ref="B6:B68" si="0" xml:space="preserve"> (POWER(A6,4))-(3*A6)</f>
        <v>94.711917130389907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26" x14ac:dyDescent="0.3">
      <c r="A7" s="3">
        <v>-2.9416000000000002</v>
      </c>
      <c r="B7" s="3">
        <f t="shared" si="0"/>
        <v>83.699391751471538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26" x14ac:dyDescent="0.3">
      <c r="A8" s="3">
        <v>-2.8416000000000001</v>
      </c>
      <c r="B8" s="3">
        <f t="shared" si="0"/>
        <v>73.725427639753121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26" x14ac:dyDescent="0.3">
      <c r="A9" s="3">
        <v>-2.7416</v>
      </c>
      <c r="B9" s="3">
        <f t="shared" si="0"/>
        <v>64.720626395234717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26" x14ac:dyDescent="0.3">
      <c r="A10" s="3">
        <v>-2.6415999999999999</v>
      </c>
      <c r="B10" s="3">
        <f t="shared" si="0"/>
        <v>56.617989617916308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26" x14ac:dyDescent="0.3">
      <c r="A11" s="3">
        <v>-2.5415999999999999</v>
      </c>
      <c r="B11" s="3">
        <f t="shared" si="0"/>
        <v>49.352918907797907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26" x14ac:dyDescent="0.3">
      <c r="A12" s="3">
        <v>-2.4416000000000002</v>
      </c>
      <c r="B12" s="3">
        <f t="shared" si="0"/>
        <v>42.863215864879528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26" x14ac:dyDescent="0.3">
      <c r="A13" s="3">
        <v>-2.3416000000000001</v>
      </c>
      <c r="B13" s="3">
        <f t="shared" si="0"/>
        <v>37.089082089161124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26" x14ac:dyDescent="0.3">
      <c r="A14" s="3">
        <v>-2.2416</v>
      </c>
      <c r="B14" s="3">
        <f t="shared" si="0"/>
        <v>31.973119180642719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26" x14ac:dyDescent="0.3">
      <c r="A15" s="3">
        <v>-2.1415999999999999</v>
      </c>
      <c r="B15" s="3">
        <f t="shared" si="0"/>
        <v>27.460328739324311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26" x14ac:dyDescent="0.3">
      <c r="A16" s="3">
        <v>-2.0415999999999999</v>
      </c>
      <c r="B16" s="3">
        <f t="shared" si="0"/>
        <v>23.498112365205913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3">
      <c r="A17" s="3">
        <v>-1.9416</v>
      </c>
      <c r="B17" s="3">
        <f t="shared" si="0"/>
        <v>20.036271658287511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3">
      <c r="A18" s="3">
        <v>-1.8415999999999999</v>
      </c>
      <c r="B18" s="3">
        <f t="shared" si="0"/>
        <v>17.027008218569112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3">
      <c r="A19" s="3">
        <v>-1.7416</v>
      </c>
      <c r="B19" s="3">
        <f t="shared" si="0"/>
        <v>14.424923646050715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3">
      <c r="A20" s="3">
        <v>-1.6415999999999999</v>
      </c>
      <c r="B20" s="3">
        <f t="shared" si="0"/>
        <v>12.187019540732312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3">
      <c r="A21" s="3">
        <v>-1.5416000000000001</v>
      </c>
      <c r="B21" s="3">
        <f t="shared" si="0"/>
        <v>10.272697502613916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3">
      <c r="A22" s="3">
        <v>-1.4416</v>
      </c>
      <c r="B22" s="3">
        <f t="shared" si="0"/>
        <v>8.6437591316955142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3">
      <c r="A23" s="3">
        <v>-1.3415999999999999</v>
      </c>
      <c r="B23" s="3">
        <f t="shared" si="0"/>
        <v>7.2644060279771123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3">
      <c r="A24" s="3">
        <v>-1.2416</v>
      </c>
      <c r="B24" s="3">
        <f t="shared" si="0"/>
        <v>6.1012397914587133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3">
      <c r="A25" s="3">
        <v>-1.1415999999999999</v>
      </c>
      <c r="B25" s="3">
        <f t="shared" si="0"/>
        <v>5.1232620221403131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3">
      <c r="A26" s="3">
        <v>-1.0416000000000001</v>
      </c>
      <c r="B26" s="3">
        <f t="shared" si="0"/>
        <v>4.3018743200219145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3">
      <c r="A27" s="3">
        <v>-0.94159999999999999</v>
      </c>
      <c r="B27" s="3">
        <f t="shared" si="0"/>
        <v>3.6108782851035133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3">
      <c r="A28" s="3">
        <v>-0.84160000000000001</v>
      </c>
      <c r="B28" s="3">
        <f t="shared" si="0"/>
        <v>3.0264755173851134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3">
      <c r="A29" s="3">
        <v>-0.74160000000000004</v>
      </c>
      <c r="B29" s="3">
        <f t="shared" si="0"/>
        <v>2.5272676168667139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3">
      <c r="A30" s="3">
        <v>-0.64159999999999995</v>
      </c>
      <c r="B30" s="3">
        <f t="shared" si="0"/>
        <v>2.0942561835483136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3">
      <c r="A31" s="3">
        <v>-0.54159999999999997</v>
      </c>
      <c r="B31" s="3">
        <f t="shared" si="0"/>
        <v>1.7108428174299135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3">
      <c r="A32" s="3">
        <v>-0.44159999999999999</v>
      </c>
      <c r="B32" s="3">
        <f t="shared" si="0"/>
        <v>1.3628291185115136</v>
      </c>
      <c r="C32" s="1"/>
      <c r="D32" s="1"/>
      <c r="E32" s="36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3">
      <c r="A33" s="3">
        <v>-0.34160000000000001</v>
      </c>
      <c r="B33" s="3">
        <f t="shared" si="0"/>
        <v>1.0384166867931135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3">
      <c r="A34" s="3">
        <v>-0.24160000000000001</v>
      </c>
      <c r="B34" s="3">
        <f t="shared" si="0"/>
        <v>0.72820712227471363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3">
      <c r="A35" s="3">
        <v>-0.1416</v>
      </c>
      <c r="B35" s="3">
        <f t="shared" si="0"/>
        <v>0.4252020249563136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3">
      <c r="A36" s="3">
        <v>-4.1599999999999901E-2</v>
      </c>
      <c r="B36" s="3">
        <f t="shared" si="0"/>
        <v>0.12480299483791331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3">
      <c r="A37" s="3">
        <v>5.8400000000000202E-2</v>
      </c>
      <c r="B37" s="3">
        <f t="shared" si="0"/>
        <v>-0.17518836808048702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3">
      <c r="A38" s="3">
        <v>0.15840000000000001</v>
      </c>
      <c r="B38" s="3">
        <f t="shared" si="0"/>
        <v>-0.47457046379888645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3">
      <c r="A39" s="3">
        <v>0.25840000000000002</v>
      </c>
      <c r="B39" s="3">
        <f t="shared" si="0"/>
        <v>-0.77074169231728651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3">
      <c r="A40" s="3">
        <v>0.3584</v>
      </c>
      <c r="B40" s="3">
        <f t="shared" si="0"/>
        <v>-1.0587004536356863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3">
      <c r="A41" s="3">
        <v>0.45839999999999997</v>
      </c>
      <c r="B41" s="3">
        <f t="shared" si="0"/>
        <v>-1.3310451477540863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3">
      <c r="A42" s="3">
        <v>0.55840000000000001</v>
      </c>
      <c r="B42" s="3">
        <f t="shared" si="0"/>
        <v>-1.5779741746724865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3">
      <c r="A43" s="3">
        <v>0.65839999999999999</v>
      </c>
      <c r="B43" s="3">
        <f t="shared" si="0"/>
        <v>-1.7872859343908865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3">
      <c r="A44" s="3">
        <v>0.75839999999999996</v>
      </c>
      <c r="B44" s="3">
        <f t="shared" si="0"/>
        <v>-1.9443788269092863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x14ac:dyDescent="0.3">
      <c r="A45" s="3">
        <v>0.85840000000000005</v>
      </c>
      <c r="B45" s="3">
        <f t="shared" si="0"/>
        <v>-2.0322512522276863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3">
      <c r="A46" s="3">
        <v>0.95840000000000003</v>
      </c>
      <c r="B46" s="3">
        <f t="shared" si="0"/>
        <v>-2.0315016103460861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x14ac:dyDescent="0.3">
      <c r="A47" s="3">
        <v>1.0584</v>
      </c>
      <c r="B47" s="3">
        <f t="shared" si="0"/>
        <v>-1.9203283012644865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x14ac:dyDescent="0.3">
      <c r="A48" s="3">
        <v>1.1584000000000001</v>
      </c>
      <c r="B48" s="3">
        <f t="shared" si="0"/>
        <v>-1.6745297249828861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x14ac:dyDescent="0.3">
      <c r="A49" s="3">
        <v>1.2584</v>
      </c>
      <c r="B49" s="3">
        <f t="shared" si="0"/>
        <v>-1.2675042815012869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x14ac:dyDescent="0.3">
      <c r="A50" s="3">
        <v>1.3584000000000001</v>
      </c>
      <c r="B50" s="3">
        <f t="shared" si="0"/>
        <v>-0.6702503708196863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3">
      <c r="A51" s="3">
        <v>1.4583999999999999</v>
      </c>
      <c r="B51" s="3">
        <f t="shared" si="0"/>
        <v>0.14863360706191386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3">
      <c r="A52" s="3">
        <v>1.5584</v>
      </c>
      <c r="B52" s="3">
        <f t="shared" si="0"/>
        <v>1.2229492521435139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x14ac:dyDescent="0.3">
      <c r="A53" s="3">
        <v>1.6584000000000001</v>
      </c>
      <c r="B53" s="3">
        <f t="shared" si="0"/>
        <v>2.5888981644251148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x14ac:dyDescent="0.3">
      <c r="A54" s="3">
        <v>1.7584</v>
      </c>
      <c r="B54" s="3">
        <f t="shared" si="0"/>
        <v>4.2850819439067145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x14ac:dyDescent="0.3">
      <c r="A55" s="3">
        <v>1.8584000000000001</v>
      </c>
      <c r="B55" s="3">
        <f t="shared" si="0"/>
        <v>6.3525021905883143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x14ac:dyDescent="0.3">
      <c r="A56" s="3">
        <v>1.9583999999999999</v>
      </c>
      <c r="B56" s="3">
        <f t="shared" si="0"/>
        <v>8.8345605044699109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x14ac:dyDescent="0.3">
      <c r="A57" s="3">
        <v>2.0583999999999998</v>
      </c>
      <c r="B57" s="3">
        <f t="shared" si="0"/>
        <v>11.777058485551503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3">
      <c r="A58" s="3">
        <v>2.1583999999999999</v>
      </c>
      <c r="B58" s="3">
        <f t="shared" si="0"/>
        <v>15.228197733833108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x14ac:dyDescent="0.3">
      <c r="A59" s="3">
        <v>2.2584</v>
      </c>
      <c r="B59" s="3">
        <f t="shared" si="0"/>
        <v>19.238579849314711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x14ac:dyDescent="0.3">
      <c r="A60" s="3">
        <v>2.3584000000000098</v>
      </c>
      <c r="B60" s="3">
        <f t="shared" si="0"/>
        <v>23.861206431996798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x14ac:dyDescent="0.3">
      <c r="A61" s="3">
        <v>2.4584000000000001</v>
      </c>
      <c r="B61" s="3">
        <f t="shared" si="0"/>
        <v>29.15147908187793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x14ac:dyDescent="0.3">
      <c r="A62" s="3">
        <v>2.5583999999999998</v>
      </c>
      <c r="B62" s="3">
        <f t="shared" si="0"/>
        <v>35.167199398959504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x14ac:dyDescent="0.3">
      <c r="A63" s="3">
        <v>2.6584000000000101</v>
      </c>
      <c r="B63" s="3">
        <f t="shared" si="0"/>
        <v>41.968568983241845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x14ac:dyDescent="0.3">
      <c r="A64" s="3">
        <v>2.7584000000000102</v>
      </c>
      <c r="B64" s="3">
        <f t="shared" si="0"/>
        <v>49.618189434723533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x14ac:dyDescent="0.3">
      <c r="A65" s="3">
        <v>2.8584000000000098</v>
      </c>
      <c r="B65" s="3">
        <f t="shared" si="0"/>
        <v>58.181062353405203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3">
      <c r="A66" s="3">
        <v>2.9584000000000001</v>
      </c>
      <c r="B66" s="3">
        <f t="shared" si="0"/>
        <v>67.724589339285927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x14ac:dyDescent="0.3">
      <c r="A67" s="3">
        <v>3.05840000000001</v>
      </c>
      <c r="B67" s="3">
        <f t="shared" si="0"/>
        <v>78.318571992368632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x14ac:dyDescent="0.3">
      <c r="A68" s="3">
        <v>3.1415999999999999</v>
      </c>
      <c r="B68" s="3">
        <f t="shared" si="0"/>
        <v>87.985202176508309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</sheetData>
  <mergeCells count="1">
    <mergeCell ref="A1:B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69"/>
  <sheetViews>
    <sheetView topLeftCell="AX1" workbookViewId="0">
      <selection activeCell="BF61" sqref="BF61"/>
    </sheetView>
  </sheetViews>
  <sheetFormatPr baseColWidth="10" defaultRowHeight="14.4" x14ac:dyDescent="0.3"/>
  <sheetData>
    <row r="1" spans="1:55" ht="15" thickBot="1" x14ac:dyDescent="0.35"/>
    <row r="2" spans="1:55" ht="15" thickBot="1" x14ac:dyDescent="0.35">
      <c r="A2" s="10" t="s">
        <v>6</v>
      </c>
      <c r="B2" s="11"/>
      <c r="C2" s="11"/>
      <c r="D2" s="11"/>
      <c r="E2" s="11"/>
      <c r="F2" s="11"/>
      <c r="G2" s="11"/>
      <c r="H2" s="11"/>
      <c r="I2" s="12"/>
    </row>
    <row r="3" spans="1:55" ht="15" thickBot="1" x14ac:dyDescent="0.35">
      <c r="A3" s="15"/>
      <c r="B3" s="16" t="s">
        <v>1</v>
      </c>
      <c r="C3" s="16" t="s">
        <v>1</v>
      </c>
      <c r="D3" s="16" t="s">
        <v>1</v>
      </c>
      <c r="E3" s="16" t="s">
        <v>1</v>
      </c>
      <c r="F3" s="16" t="s">
        <v>1</v>
      </c>
      <c r="G3" s="16" t="s">
        <v>1</v>
      </c>
      <c r="H3" s="16" t="s">
        <v>1</v>
      </c>
      <c r="I3" s="16" t="s">
        <v>1</v>
      </c>
      <c r="J3" s="16" t="s">
        <v>1</v>
      </c>
      <c r="K3" s="16" t="s">
        <v>1</v>
      </c>
      <c r="L3" s="16" t="s">
        <v>1</v>
      </c>
      <c r="M3" s="16" t="s">
        <v>1</v>
      </c>
      <c r="N3" s="16" t="s">
        <v>1</v>
      </c>
      <c r="O3" s="16" t="s">
        <v>1</v>
      </c>
      <c r="P3" s="16" t="s">
        <v>1</v>
      </c>
      <c r="Q3" s="16" t="s">
        <v>1</v>
      </c>
      <c r="R3" s="16" t="s">
        <v>1</v>
      </c>
      <c r="S3" s="16" t="s">
        <v>1</v>
      </c>
      <c r="T3" s="16" t="s">
        <v>1</v>
      </c>
      <c r="U3" s="16" t="s">
        <v>1</v>
      </c>
      <c r="V3" s="16" t="s">
        <v>1</v>
      </c>
      <c r="W3" s="16" t="s">
        <v>1</v>
      </c>
      <c r="X3" s="16" t="s">
        <v>1</v>
      </c>
      <c r="Y3" s="16" t="s">
        <v>1</v>
      </c>
      <c r="Z3" s="16" t="s">
        <v>1</v>
      </c>
      <c r="AA3" s="16" t="s">
        <v>1</v>
      </c>
      <c r="AB3" s="16" t="s">
        <v>1</v>
      </c>
      <c r="AC3" s="16" t="s">
        <v>1</v>
      </c>
      <c r="AD3" s="16" t="s">
        <v>1</v>
      </c>
      <c r="AE3" s="16" t="s">
        <v>1</v>
      </c>
      <c r="AF3" s="16" t="s">
        <v>1</v>
      </c>
      <c r="AG3" s="16" t="s">
        <v>1</v>
      </c>
      <c r="AH3" s="16" t="s">
        <v>1</v>
      </c>
      <c r="AI3" s="16" t="s">
        <v>1</v>
      </c>
      <c r="AJ3" s="16" t="s">
        <v>1</v>
      </c>
      <c r="AK3" s="16" t="s">
        <v>1</v>
      </c>
      <c r="AL3" s="16" t="s">
        <v>1</v>
      </c>
      <c r="AM3" s="16" t="s">
        <v>1</v>
      </c>
      <c r="AN3" s="16" t="s">
        <v>1</v>
      </c>
      <c r="AO3" s="16" t="s">
        <v>1</v>
      </c>
      <c r="AP3" s="16" t="s">
        <v>1</v>
      </c>
      <c r="AQ3" s="16" t="s">
        <v>1</v>
      </c>
      <c r="AR3" s="16" t="s">
        <v>1</v>
      </c>
      <c r="AS3" s="16" t="s">
        <v>1</v>
      </c>
      <c r="AT3" s="16" t="s">
        <v>1</v>
      </c>
      <c r="AU3" s="16" t="s">
        <v>1</v>
      </c>
      <c r="AV3" s="16" t="s">
        <v>1</v>
      </c>
      <c r="AW3" s="16" t="s">
        <v>1</v>
      </c>
      <c r="AX3" s="31" t="s">
        <v>1</v>
      </c>
      <c r="AY3" s="34" t="s">
        <v>1</v>
      </c>
      <c r="AZ3" s="32"/>
      <c r="BA3" s="32"/>
      <c r="BB3" s="32"/>
      <c r="BC3" s="32"/>
    </row>
    <row r="4" spans="1:55" ht="15" thickBot="1" x14ac:dyDescent="0.35">
      <c r="A4" s="17" t="s">
        <v>0</v>
      </c>
      <c r="B4" s="18">
        <v>1</v>
      </c>
      <c r="C4" s="18">
        <v>2</v>
      </c>
      <c r="D4" s="18">
        <v>3</v>
      </c>
      <c r="E4" s="18">
        <v>4</v>
      </c>
      <c r="F4" s="18">
        <v>5</v>
      </c>
      <c r="G4" s="18">
        <v>6</v>
      </c>
      <c r="H4" s="18">
        <v>7</v>
      </c>
      <c r="I4" s="18">
        <v>8</v>
      </c>
      <c r="J4" s="18">
        <v>9</v>
      </c>
      <c r="K4" s="18">
        <v>10</v>
      </c>
      <c r="L4" s="18">
        <v>11</v>
      </c>
      <c r="M4" s="18">
        <v>12</v>
      </c>
      <c r="N4" s="18">
        <v>13</v>
      </c>
      <c r="O4" s="18">
        <v>14</v>
      </c>
      <c r="P4" s="18">
        <v>15</v>
      </c>
      <c r="Q4" s="18">
        <v>16</v>
      </c>
      <c r="R4" s="18">
        <v>17</v>
      </c>
      <c r="S4" s="18">
        <v>18</v>
      </c>
      <c r="T4" s="18">
        <v>19</v>
      </c>
      <c r="U4" s="18">
        <v>20</v>
      </c>
      <c r="V4" s="18">
        <v>21</v>
      </c>
      <c r="W4" s="18">
        <v>22</v>
      </c>
      <c r="X4" s="18">
        <v>23</v>
      </c>
      <c r="Y4" s="18">
        <v>24</v>
      </c>
      <c r="Z4" s="18">
        <v>25</v>
      </c>
      <c r="AA4" s="18">
        <v>26</v>
      </c>
      <c r="AB4" s="18">
        <v>27</v>
      </c>
      <c r="AC4" s="18">
        <v>28</v>
      </c>
      <c r="AD4" s="18">
        <v>29</v>
      </c>
      <c r="AE4" s="18">
        <v>30</v>
      </c>
      <c r="AF4" s="18">
        <v>31</v>
      </c>
      <c r="AG4" s="18">
        <v>32</v>
      </c>
      <c r="AH4" s="18">
        <v>33</v>
      </c>
      <c r="AI4" s="18">
        <v>34</v>
      </c>
      <c r="AJ4" s="18">
        <v>35</v>
      </c>
      <c r="AK4" s="18">
        <v>36</v>
      </c>
      <c r="AL4" s="18">
        <v>37</v>
      </c>
      <c r="AM4" s="18">
        <v>38</v>
      </c>
      <c r="AN4" s="18">
        <v>39</v>
      </c>
      <c r="AO4" s="18">
        <v>40</v>
      </c>
      <c r="AP4" s="18">
        <v>41</v>
      </c>
      <c r="AQ4" s="18">
        <v>42</v>
      </c>
      <c r="AR4" s="18">
        <v>43</v>
      </c>
      <c r="AS4" s="18">
        <v>44</v>
      </c>
      <c r="AT4" s="18">
        <v>45</v>
      </c>
      <c r="AU4" s="18">
        <v>46</v>
      </c>
      <c r="AV4" s="18">
        <v>47</v>
      </c>
      <c r="AW4" s="18">
        <v>48</v>
      </c>
      <c r="AX4" s="18">
        <v>49</v>
      </c>
      <c r="AY4" s="33">
        <v>50</v>
      </c>
      <c r="AZ4" s="20" t="s">
        <v>2</v>
      </c>
      <c r="BA4" s="21" t="s">
        <v>0</v>
      </c>
      <c r="BB4" s="21" t="s">
        <v>5</v>
      </c>
      <c r="BC4" s="22" t="s">
        <v>3</v>
      </c>
    </row>
    <row r="5" spans="1:55" x14ac:dyDescent="0.3">
      <c r="A5" s="23">
        <v>-3.1415999999999999</v>
      </c>
      <c r="B5" s="14">
        <f>SUM(((((8*(POWER(PI(),2))*(POWER(B$4,2)))-48)*(POWER((-1),B$4))/(POWER(B$4,4)))*COS(B$4*$A5))+(((6*POWER((-1),B$4))/B$4)*SIN(B$4*$A5)))</f>
        <v>30.956791129418257</v>
      </c>
      <c r="C5" s="14">
        <f t="shared" ref="C5:Z16" si="0">SUM(((((8*(POWER(PI(),2))*(POWER(C$4,2)))-48)*(POWER((-1),C$4))/(POWER(C$4,4)))*COS(C$4*$A5))+(((6*POWER((-1),C$4))/C$4)*SIN(C$4*$A5)))</f>
        <v>16.739164721910655</v>
      </c>
      <c r="D5" s="14">
        <f t="shared" si="0"/>
        <v>8.1803450168166574</v>
      </c>
      <c r="E5" s="14">
        <f t="shared" si="0"/>
        <v>4.7472581200337594</v>
      </c>
      <c r="F5" s="14">
        <f t="shared" si="0"/>
        <v>3.0814293278085345</v>
      </c>
      <c r="G5" s="14">
        <f t="shared" si="0"/>
        <v>2.1561643048713797</v>
      </c>
      <c r="H5" s="14">
        <f t="shared" si="0"/>
        <v>1.5913282331484548</v>
      </c>
      <c r="I5" s="14">
        <f t="shared" si="0"/>
        <v>1.2219377195645535</v>
      </c>
      <c r="J5" s="14">
        <f t="shared" si="0"/>
        <v>0.96741570480836814</v>
      </c>
      <c r="K5" s="14">
        <f t="shared" si="0"/>
        <v>0.7847242715082603</v>
      </c>
      <c r="L5" s="14">
        <f t="shared" si="0"/>
        <v>0.64921328300431658</v>
      </c>
      <c r="M5" s="14">
        <f t="shared" si="0"/>
        <v>0.54595246021843336</v>
      </c>
      <c r="N5" s="14">
        <f t="shared" si="0"/>
        <v>0.46547551432754125</v>
      </c>
      <c r="O5" s="14">
        <f t="shared" si="0"/>
        <v>0.40154743599404707</v>
      </c>
      <c r="P5" s="14">
        <f t="shared" si="0"/>
        <v>0.34992703886010457</v>
      </c>
      <c r="Q5" s="14">
        <f t="shared" si="0"/>
        <v>0.30764863507232332</v>
      </c>
      <c r="R5" s="14">
        <f t="shared" si="0"/>
        <v>0.2725882558947828</v>
      </c>
      <c r="S5" s="14">
        <f t="shared" si="0"/>
        <v>0.24319260787078487</v>
      </c>
      <c r="T5" s="14">
        <f t="shared" si="0"/>
        <v>0.21830459315089643</v>
      </c>
      <c r="U5" s="14">
        <f t="shared" si="0"/>
        <v>0.19704800743330311</v>
      </c>
      <c r="V5" s="14">
        <f t="shared" si="0"/>
        <v>0.17874955131893958</v>
      </c>
      <c r="W5" s="14">
        <f t="shared" si="0"/>
        <v>0.16288497241717684</v>
      </c>
      <c r="X5" s="14">
        <f t="shared" si="0"/>
        <v>0.14904117076926438</v>
      </c>
      <c r="Y5" s="14">
        <f t="shared" si="0"/>
        <v>0.13688908238869066</v>
      </c>
      <c r="Z5" s="14">
        <f t="shared" si="0"/>
        <v>0.12616397574438531</v>
      </c>
      <c r="AA5" s="14">
        <f t="shared" ref="AA5:AY15" si="1">SUM(((((8*(POWER(PI(),2))*(POWER(AA$4,2)))-48)*(POWER((-1),AA$4))/(POWER(AA$4,4)))*COS(AA$4*$A5))+(((6*POWER((-1),AA$4))/AA$4)*SIN(AA$4*$A5)))</f>
        <v>0.11665093315520678</v>
      </c>
      <c r="AB5" s="14">
        <f t="shared" si="1"/>
        <v>0.10817401486603664</v>
      </c>
      <c r="AC5" s="14">
        <f t="shared" si="1"/>
        <v>0.10058807593931642</v>
      </c>
      <c r="AD5" s="14">
        <f t="shared" si="1"/>
        <v>9.3772519050772454E-2</v>
      </c>
      <c r="AE5" s="14">
        <f t="shared" si="1"/>
        <v>8.7626477049227297E-2</v>
      </c>
      <c r="AF5" s="14">
        <f t="shared" si="1"/>
        <v>8.2065063257768023E-2</v>
      </c>
      <c r="AG5" s="14">
        <f t="shared" si="1"/>
        <v>7.7016427426113726E-2</v>
      </c>
      <c r="AH5" s="14">
        <f t="shared" si="1"/>
        <v>7.2419425446223207E-2</v>
      </c>
      <c r="AI5" s="14">
        <f t="shared" si="1"/>
        <v>6.8221760860707747E-2</v>
      </c>
      <c r="AJ5" s="14">
        <f t="shared" si="1"/>
        <v>6.4378492091494974E-2</v>
      </c>
      <c r="AK5" s="14">
        <f t="shared" si="1"/>
        <v>6.0850825406297687E-2</v>
      </c>
      <c r="AL5" s="14">
        <f t="shared" si="1"/>
        <v>5.7605132791346422E-2</v>
      </c>
      <c r="AM5" s="14">
        <f t="shared" si="1"/>
        <v>5.4612148087903607E-2</v>
      </c>
      <c r="AN5" s="14">
        <f t="shared" si="1"/>
        <v>5.1846305355208122E-2</v>
      </c>
      <c r="AO5" s="14">
        <f t="shared" si="1"/>
        <v>4.9285191415009887E-2</v>
      </c>
      <c r="AP5" s="14">
        <f t="shared" si="1"/>
        <v>4.6909090603387181E-2</v>
      </c>
      <c r="AQ5" s="14">
        <f t="shared" si="1"/>
        <v>4.4700604400686163E-2</v>
      </c>
      <c r="AR5" s="14">
        <f t="shared" si="1"/>
        <v>4.264433218962347E-2</v>
      </c>
      <c r="AS5" s="14">
        <f t="shared" si="1"/>
        <v>4.0726602167967356E-2</v>
      </c>
      <c r="AT5" s="14">
        <f t="shared" si="1"/>
        <v>3.8935243609569341E-2</v>
      </c>
      <c r="AU5" s="14">
        <f t="shared" si="1"/>
        <v>3.7259393369257099E-2</v>
      </c>
      <c r="AV5" s="14">
        <f t="shared" si="1"/>
        <v>3.5689330871528861E-2</v>
      </c>
      <c r="AW5" s="14">
        <f t="shared" si="1"/>
        <v>3.4216336890230632E-2</v>
      </c>
      <c r="AX5" s="14">
        <f t="shared" si="1"/>
        <v>3.2832572278655811E-2</v>
      </c>
      <c r="AY5" s="14">
        <f t="shared" si="1"/>
        <v>3.1530973493116586E-2</v>
      </c>
      <c r="AZ5" s="13">
        <f>(((2*(POWER(PI(),4)))/5))/2</f>
        <v>19.481818206800487</v>
      </c>
      <c r="BA5" s="13">
        <v>-3.1415999999999999</v>
      </c>
      <c r="BB5" s="19">
        <f>AZ5+SUM(B5:AY5)</f>
        <v>95.843560613227041</v>
      </c>
      <c r="BC5" s="24">
        <v>106.83480217650832</v>
      </c>
    </row>
    <row r="6" spans="1:55" x14ac:dyDescent="0.3">
      <c r="A6" s="25">
        <v>-3.0415999999999999</v>
      </c>
      <c r="B6" s="6">
        <f t="shared" ref="B6:Q68" si="2">SUM(((((8*(POWER(PI(),2))*(POWER(B$4,2)))-48)*(POWER((-1),B$4))/(POWER(B$4,4)))*COS(B$4*$A6))+(((6*POWER((-1),B$4))/B$4)*SIN(B$4*$A6)))</f>
        <v>31.401159321554168</v>
      </c>
      <c r="C6" s="6">
        <f t="shared" si="2"/>
        <v>17.001552739209405</v>
      </c>
      <c r="D6" s="6">
        <f t="shared" si="2"/>
        <v>8.4060757805658461</v>
      </c>
      <c r="E6" s="6">
        <f t="shared" si="2"/>
        <v>4.9566961208763871</v>
      </c>
      <c r="F6" s="6">
        <f t="shared" si="2"/>
        <v>3.2795735553391161</v>
      </c>
      <c r="G6" s="6">
        <f t="shared" si="2"/>
        <v>2.3442553302001183</v>
      </c>
      <c r="H6" s="6">
        <f t="shared" si="2"/>
        <v>1.7693542751333506</v>
      </c>
      <c r="I6" s="6">
        <f t="shared" si="2"/>
        <v>1.389400793545982</v>
      </c>
      <c r="J6" s="6">
        <f t="shared" si="2"/>
        <v>1.1236232906326555</v>
      </c>
      <c r="K6" s="6">
        <f t="shared" si="2"/>
        <v>0.92891943562849044</v>
      </c>
      <c r="L6" s="6">
        <f t="shared" si="2"/>
        <v>0.78064048986576284</v>
      </c>
      <c r="M6" s="6">
        <f t="shared" si="2"/>
        <v>0.66389451089503426</v>
      </c>
      <c r="N6" s="6">
        <f t="shared" si="2"/>
        <v>0.56927615382614205</v>
      </c>
      <c r="O6" s="6">
        <f t="shared" si="2"/>
        <v>0.49062616937341469</v>
      </c>
      <c r="P6" s="6">
        <f t="shared" si="2"/>
        <v>0.42378932059985513</v>
      </c>
      <c r="Q6" s="6">
        <f t="shared" si="2"/>
        <v>0.36589305693929713</v>
      </c>
      <c r="R6" s="6">
        <f t="shared" si="0"/>
        <v>0.31491161112398902</v>
      </c>
      <c r="S6" s="6">
        <f t="shared" si="0"/>
        <v>0.26939332751808009</v>
      </c>
      <c r="T6" s="6">
        <f t="shared" si="0"/>
        <v>0.22828484722341802</v>
      </c>
      <c r="U6" s="6">
        <f t="shared" si="0"/>
        <v>0.1908146519482159</v>
      </c>
      <c r="V6" s="6">
        <f t="shared" si="0"/>
        <v>0.15641404017552277</v>
      </c>
      <c r="W6" s="6">
        <f t="shared" si="0"/>
        <v>0.12466231803409705</v>
      </c>
      <c r="X6" s="6">
        <f t="shared" si="0"/>
        <v>9.5248018163105075E-2</v>
      </c>
      <c r="Y6" s="6">
        <f t="shared" si="0"/>
        <v>6.7940951284429577E-2</v>
      </c>
      <c r="Z6" s="6">
        <f t="shared" ref="Z6:AO68" si="3">SUM(((((8*(POWER(PI(),2))*(POWER(Z$4,2)))-48)*(POWER((-1),Z$4))/(POWER(Z$4,4)))*COS(Z$4*$A6))+(((6*POWER((-1),Z$4))/Z$4)*SIN(Z$4*$A6)))</f>
        <v>4.2571720710293998E-2</v>
      </c>
      <c r="AA6" s="6">
        <f t="shared" si="3"/>
        <v>1.9016470455828244E-2</v>
      </c>
      <c r="AB6" s="6">
        <f t="shared" si="3"/>
        <v>-2.8146346035764075E-3</v>
      </c>
      <c r="AC6" s="6">
        <f t="shared" si="3"/>
        <v>-2.2986224591230606E-2</v>
      </c>
      <c r="AD6" s="6">
        <f t="shared" si="3"/>
        <v>-4.1544551011576177E-2</v>
      </c>
      <c r="AE6" s="6">
        <f t="shared" si="3"/>
        <v>-5.8522827146780795E-2</v>
      </c>
      <c r="AF6" s="6">
        <f t="shared" si="3"/>
        <v>-7.3945441835837733E-2</v>
      </c>
      <c r="AG6" s="6">
        <f t="shared" si="3"/>
        <v>-8.7831306233183304E-2</v>
      </c>
      <c r="AH6" s="6">
        <f t="shared" si="3"/>
        <v>-0.10019652322035769</v>
      </c>
      <c r="AI6" s="6">
        <f t="shared" si="3"/>
        <v>-0.11105651958934726</v>
      </c>
      <c r="AJ6" s="6">
        <f t="shared" si="3"/>
        <v>-0.12042774564109507</v>
      </c>
      <c r="AK6" s="6">
        <f t="shared" si="3"/>
        <v>-0.12832902121782452</v>
      </c>
      <c r="AL6" s="6">
        <f t="shared" si="3"/>
        <v>-0.13478258853119235</v>
      </c>
      <c r="AM6" s="6">
        <f t="shared" si="3"/>
        <v>-0.13981491847175875</v>
      </c>
      <c r="AN6" s="6">
        <f t="shared" si="3"/>
        <v>-0.14345730700190826</v>
      </c>
      <c r="AO6" s="6">
        <f t="shared" si="3"/>
        <v>-0.14574629076526943</v>
      </c>
      <c r="AP6" s="6">
        <f t="shared" si="1"/>
        <v>-0.14672390549338293</v>
      </c>
      <c r="AQ6" s="6">
        <f t="shared" si="1"/>
        <v>-0.14643780665246253</v>
      </c>
      <c r="AR6" s="6">
        <f t="shared" si="1"/>
        <v>-0.14494126868436663</v>
      </c>
      <c r="AS6" s="6">
        <f t="shared" si="1"/>
        <v>-0.14229307688856163</v>
      </c>
      <c r="AT6" s="6">
        <f t="shared" si="1"/>
        <v>-0.13855732426754291</v>
      </c>
      <c r="AU6" s="6">
        <f t="shared" si="1"/>
        <v>-0.13380312436898673</v>
      </c>
      <c r="AV6" s="6">
        <f t="shared" si="1"/>
        <v>-0.12810425019254668</v>
      </c>
      <c r="AW6" s="6">
        <f t="shared" si="1"/>
        <v>-0.12153870850333089</v>
      </c>
      <c r="AX6" s="6">
        <f t="shared" si="1"/>
        <v>-0.11418825834336573</v>
      </c>
      <c r="AY6" s="6">
        <f t="shared" si="1"/>
        <v>-0.10613788210749189</v>
      </c>
      <c r="AZ6" s="4">
        <f t="shared" ref="AZ6:AZ68" si="4">(((2*(POWER(PI(),4)))/5))/2</f>
        <v>19.481818206800487</v>
      </c>
      <c r="BA6" s="4">
        <v>-3.0415999999999999</v>
      </c>
      <c r="BB6" s="5">
        <f t="shared" ref="BB6:BB68" si="5">AZ6+SUM(B6:AY6)</f>
        <v>94.251625002259473</v>
      </c>
      <c r="BC6" s="24">
        <v>94.711917130389907</v>
      </c>
    </row>
    <row r="7" spans="1:55" x14ac:dyDescent="0.3">
      <c r="A7" s="25">
        <v>-2.9416000000000002</v>
      </c>
      <c r="B7" s="6">
        <f t="shared" si="2"/>
        <v>31.531777509592352</v>
      </c>
      <c r="C7" s="6">
        <f t="shared" si="0"/>
        <v>16.586142500298042</v>
      </c>
      <c r="D7" s="6">
        <f t="shared" si="0"/>
        <v>7.8809168302424721</v>
      </c>
      <c r="E7" s="6">
        <f t="shared" si="0"/>
        <v>4.3835807920955432</v>
      </c>
      <c r="F7" s="6">
        <f t="shared" si="0"/>
        <v>2.674763797396309</v>
      </c>
      <c r="G7" s="6">
        <f t="shared" si="0"/>
        <v>1.713430524040632</v>
      </c>
      <c r="H7" s="6">
        <f t="shared" si="0"/>
        <v>1.1152253545998521</v>
      </c>
      <c r="I7" s="6">
        <f t="shared" si="0"/>
        <v>0.71407199010697253</v>
      </c>
      <c r="J7" s="6">
        <f t="shared" si="0"/>
        <v>0.42949517126832515</v>
      </c>
      <c r="K7" s="6">
        <f t="shared" si="0"/>
        <v>0.21907035456335333</v>
      </c>
      <c r="L7" s="6">
        <f t="shared" si="0"/>
        <v>5.8977713857432945E-2</v>
      </c>
      <c r="M7" s="6">
        <f t="shared" si="0"/>
        <v>-6.4817811863805086E-2</v>
      </c>
      <c r="N7" s="6">
        <f t="shared" si="0"/>
        <v>-0.16091410570273457</v>
      </c>
      <c r="O7" s="6">
        <f t="shared" si="0"/>
        <v>-0.23476677951306771</v>
      </c>
      <c r="P7" s="6">
        <f t="shared" si="0"/>
        <v>-0.28997169758832275</v>
      </c>
      <c r="Q7" s="6">
        <f t="shared" si="0"/>
        <v>-0.3290164400242932</v>
      </c>
      <c r="R7" s="6">
        <f t="shared" si="0"/>
        <v>-0.35373751046089874</v>
      </c>
      <c r="S7" s="6">
        <f t="shared" si="0"/>
        <v>-0.36560606448768163</v>
      </c>
      <c r="T7" s="6">
        <f t="shared" si="0"/>
        <v>-0.36590881191161473</v>
      </c>
      <c r="U7" s="6">
        <f t="shared" si="0"/>
        <v>-0.35586183498349266</v>
      </c>
      <c r="V7" s="6">
        <f t="shared" si="0"/>
        <v>-0.33667958909361861</v>
      </c>
      <c r="W7" s="6">
        <f t="shared" si="0"/>
        <v>-0.30961279930259317</v>
      </c>
      <c r="X7" s="6">
        <f t="shared" si="0"/>
        <v>-0.27596411192226811</v>
      </c>
      <c r="Y7" s="6">
        <f t="shared" si="0"/>
        <v>-0.23708754339875218</v>
      </c>
      <c r="Z7" s="6">
        <f t="shared" si="3"/>
        <v>-0.19437610024418642</v>
      </c>
      <c r="AA7" s="6">
        <f t="shared" si="1"/>
        <v>-0.1492409324799541</v>
      </c>
      <c r="AB7" s="6">
        <f t="shared" si="1"/>
        <v>-0.10308474939593851</v>
      </c>
      <c r="AC7" s="6">
        <f t="shared" si="1"/>
        <v>-5.72718072643469E-2</v>
      </c>
      <c r="AD7" s="6">
        <f t="shared" si="1"/>
        <v>-1.3096477006445478E-2</v>
      </c>
      <c r="AE7" s="6">
        <f t="shared" si="1"/>
        <v>2.8247842461082487E-2</v>
      </c>
      <c r="AF7" s="6">
        <f t="shared" si="1"/>
        <v>6.5697917023573915E-2</v>
      </c>
      <c r="AG7" s="6">
        <f t="shared" si="1"/>
        <v>9.8346640901515792E-2</v>
      </c>
      <c r="AH7" s="6">
        <f t="shared" si="1"/>
        <v>0.12546465394439099</v>
      </c>
      <c r="AI7" s="6">
        <f t="shared" si="1"/>
        <v>0.14651672396558563</v>
      </c>
      <c r="AJ7" s="6">
        <f t="shared" si="1"/>
        <v>0.16117224339041841</v>
      </c>
      <c r="AK7" s="6">
        <f t="shared" si="1"/>
        <v>0.16930943426771478</v>
      </c>
      <c r="AL7" s="6">
        <f t="shared" si="1"/>
        <v>0.17101310242328316</v>
      </c>
      <c r="AM7" s="6">
        <f t="shared" si="1"/>
        <v>0.16656602422231254</v>
      </c>
      <c r="AN7" s="6">
        <f t="shared" si="1"/>
        <v>0.15643428149727567</v>
      </c>
      <c r="AO7" s="6">
        <f t="shared" si="1"/>
        <v>0.14124707503149303</v>
      </c>
      <c r="AP7" s="6">
        <f t="shared" si="1"/>
        <v>0.12177173820957493</v>
      </c>
      <c r="AQ7" s="6">
        <f t="shared" si="1"/>
        <v>9.8884834328846344E-2</v>
      </c>
      <c r="AR7" s="6">
        <f t="shared" si="1"/>
        <v>7.3540348788209697E-2</v>
      </c>
      <c r="AS7" s="6">
        <f t="shared" si="1"/>
        <v>4.6736077228478085E-2</v>
      </c>
      <c r="AT7" s="6">
        <f t="shared" si="1"/>
        <v>1.9479360262367532E-2</v>
      </c>
      <c r="AU7" s="6">
        <f t="shared" si="1"/>
        <v>-7.2466763496811214E-3</v>
      </c>
      <c r="AV7" s="6">
        <f t="shared" si="1"/>
        <v>-3.2515249983926742E-2</v>
      </c>
      <c r="AW7" s="6">
        <f t="shared" si="1"/>
        <v>-5.5485363775399178E-2</v>
      </c>
      <c r="AX7" s="6">
        <f t="shared" si="1"/>
        <v>-7.542761752637081E-2</v>
      </c>
      <c r="AY7" s="6">
        <f t="shared" si="1"/>
        <v>-9.1745580691213025E-2</v>
      </c>
      <c r="AZ7" s="4">
        <f t="shared" si="4"/>
        <v>19.481818206800487</v>
      </c>
      <c r="BA7" s="4">
        <v>-2.9416000000000002</v>
      </c>
      <c r="BB7" s="5">
        <f t="shared" si="5"/>
        <v>84.120263387837284</v>
      </c>
      <c r="BC7" s="24">
        <v>83.699391751471538</v>
      </c>
    </row>
    <row r="8" spans="1:55" x14ac:dyDescent="0.3">
      <c r="A8" s="25">
        <v>-2.8416000000000001</v>
      </c>
      <c r="B8" s="6">
        <f t="shared" si="2"/>
        <v>31.347340599774562</v>
      </c>
      <c r="C8" s="6">
        <f t="shared" si="0"/>
        <v>15.50949510049915</v>
      </c>
      <c r="D8" s="6">
        <f t="shared" si="0"/>
        <v>6.6517790508236434</v>
      </c>
      <c r="E8" s="6">
        <f t="shared" si="0"/>
        <v>3.1183944424425607</v>
      </c>
      <c r="F8" s="6">
        <f t="shared" si="0"/>
        <v>1.4150785762022269</v>
      </c>
      <c r="G8" s="6">
        <f t="shared" si="0"/>
        <v>0.48405514012806172</v>
      </c>
      <c r="H8" s="6">
        <f t="shared" si="0"/>
        <v>-6.3411476078809703E-2</v>
      </c>
      <c r="I8" s="6">
        <f t="shared" si="0"/>
        <v>-0.39440330061716289</v>
      </c>
      <c r="J8" s="6">
        <f t="shared" si="0"/>
        <v>-0.58966633106364497</v>
      </c>
      <c r="K8" s="6">
        <f t="shared" si="0"/>
        <v>-0.69219100019263402</v>
      </c>
      <c r="L8" s="6">
        <f t="shared" si="0"/>
        <v>-0.72713636535320869</v>
      </c>
      <c r="M8" s="6">
        <f t="shared" si="0"/>
        <v>-0.71086898440915225</v>
      </c>
      <c r="N8" s="6">
        <f t="shared" si="0"/>
        <v>-0.65536482339545199</v>
      </c>
      <c r="O8" s="6">
        <f t="shared" si="0"/>
        <v>-0.5704314468968692</v>
      </c>
      <c r="P8" s="6">
        <f t="shared" si="0"/>
        <v>-0.46481289350032007</v>
      </c>
      <c r="Q8" s="6">
        <f t="shared" si="0"/>
        <v>-0.34667881118333854</v>
      </c>
      <c r="R8" s="6">
        <f t="shared" si="0"/>
        <v>-0.2237573498266045</v>
      </c>
      <c r="S8" s="6">
        <f t="shared" si="0"/>
        <v>-0.10326040014988722</v>
      </c>
      <c r="T8" s="6">
        <f t="shared" si="0"/>
        <v>8.3041554054716638E-3</v>
      </c>
      <c r="U8" s="6">
        <f t="shared" si="0"/>
        <v>0.1053669018042656</v>
      </c>
      <c r="V8" s="6">
        <f t="shared" si="0"/>
        <v>0.18352871792886397</v>
      </c>
      <c r="W8" s="6">
        <f t="shared" si="0"/>
        <v>0.23975263857816403</v>
      </c>
      <c r="X8" s="6">
        <f t="shared" si="0"/>
        <v>0.27248852285207159</v>
      </c>
      <c r="Y8" s="6">
        <f t="shared" si="0"/>
        <v>0.2817127777862759</v>
      </c>
      <c r="Z8" s="6">
        <f t="shared" si="3"/>
        <v>0.26887462274078366</v>
      </c>
      <c r="AA8" s="6">
        <f t="shared" si="1"/>
        <v>0.2367492827129051</v>
      </c>
      <c r="AB8" s="6">
        <f t="shared" si="1"/>
        <v>0.18920673499492929</v>
      </c>
      <c r="AC8" s="6">
        <f t="shared" si="1"/>
        <v>0.13091177718110492</v>
      </c>
      <c r="AD8" s="6">
        <f t="shared" si="1"/>
        <v>6.6976813579777264E-2</v>
      </c>
      <c r="AE8" s="6">
        <f t="shared" si="1"/>
        <v>2.5925229835315755E-3</v>
      </c>
      <c r="AF8" s="6">
        <f t="shared" si="1"/>
        <v>-5.7336754560147835E-2</v>
      </c>
      <c r="AG8" s="6">
        <f t="shared" si="1"/>
        <v>-0.10852656942471087</v>
      </c>
      <c r="AH8" s="6">
        <f t="shared" si="1"/>
        <v>-0.14759109199704754</v>
      </c>
      <c r="AI8" s="6">
        <f t="shared" si="1"/>
        <v>-0.17224768823583847</v>
      </c>
      <c r="AJ8" s="6">
        <f t="shared" si="1"/>
        <v>-0.1814339046161412</v>
      </c>
      <c r="AK8" s="6">
        <f t="shared" si="1"/>
        <v>-0.17533029907087022</v>
      </c>
      <c r="AL8" s="6">
        <f t="shared" si="1"/>
        <v>-0.15528984664497208</v>
      </c>
      <c r="AM8" s="6">
        <f t="shared" si="1"/>
        <v>-0.12368177565184926</v>
      </c>
      <c r="AN8" s="6">
        <f t="shared" si="1"/>
        <v>-8.366408984451297E-2</v>
      </c>
      <c r="AO8" s="6">
        <f t="shared" si="1"/>
        <v>-3.8904208354688843E-2</v>
      </c>
      <c r="AP8" s="6">
        <f t="shared" si="1"/>
        <v>6.7292832256954788E-3</v>
      </c>
      <c r="AQ8" s="6">
        <f t="shared" si="1"/>
        <v>4.9479086460064131E-2</v>
      </c>
      <c r="AR8" s="6">
        <f t="shared" si="1"/>
        <v>8.5991446866793331E-2</v>
      </c>
      <c r="AS8" s="6">
        <f t="shared" si="1"/>
        <v>0.11356601139624078</v>
      </c>
      <c r="AT8" s="6">
        <f t="shared" si="1"/>
        <v>0.13034498962973204</v>
      </c>
      <c r="AU8" s="6">
        <f t="shared" si="1"/>
        <v>0.13542859049798128</v>
      </c>
      <c r="AV8" s="6">
        <f t="shared" si="1"/>
        <v>0.12890989117147267</v>
      </c>
      <c r="AW8" s="6">
        <f t="shared" si="1"/>
        <v>0.11182888265110084</v>
      </c>
      <c r="AX8" s="6">
        <f t="shared" si="1"/>
        <v>8.6051891013880083E-2</v>
      </c>
      <c r="AY8" s="6">
        <f t="shared" si="1"/>
        <v>5.408837825656921E-2</v>
      </c>
      <c r="AZ8" s="4">
        <f t="shared" si="4"/>
        <v>19.481818206800487</v>
      </c>
      <c r="BA8" s="4">
        <v>-2.8416000000000001</v>
      </c>
      <c r="BB8" s="5">
        <f t="shared" si="5"/>
        <v>74.110855625320497</v>
      </c>
      <c r="BC8" s="24">
        <v>73.725427639753121</v>
      </c>
    </row>
    <row r="9" spans="1:55" x14ac:dyDescent="0.3">
      <c r="A9" s="25">
        <v>-2.7416</v>
      </c>
      <c r="B9" s="6">
        <f t="shared" si="2"/>
        <v>30.84969142473696</v>
      </c>
      <c r="C9" s="6">
        <f t="shared" si="0"/>
        <v>13.814533074085368</v>
      </c>
      <c r="D9" s="6">
        <f t="shared" si="0"/>
        <v>4.8284576594637523</v>
      </c>
      <c r="E9" s="6">
        <f t="shared" si="0"/>
        <v>1.3608821776028914</v>
      </c>
      <c r="F9" s="6">
        <f t="shared" si="0"/>
        <v>-0.19106723303684325</v>
      </c>
      <c r="G9" s="6">
        <f t="shared" si="0"/>
        <v>-0.91441463058507011</v>
      </c>
      <c r="H9" s="6">
        <f t="shared" si="0"/>
        <v>-1.2122248987259618</v>
      </c>
      <c r="I9" s="6">
        <f t="shared" si="0"/>
        <v>-1.2636388415642612</v>
      </c>
      <c r="J9" s="6">
        <f t="shared" si="0"/>
        <v>-1.1625801099538262</v>
      </c>
      <c r="K9" s="6">
        <f t="shared" si="0"/>
        <v>-0.96705514157385797</v>
      </c>
      <c r="L9" s="6">
        <f t="shared" si="0"/>
        <v>-0.71863018400084366</v>
      </c>
      <c r="M9" s="6">
        <f t="shared" si="0"/>
        <v>-0.45035996597142414</v>
      </c>
      <c r="N9" s="6">
        <f t="shared" si="0"/>
        <v>-0.18970453945735055</v>
      </c>
      <c r="O9" s="6">
        <f t="shared" si="0"/>
        <v>4.0857573014043358E-2</v>
      </c>
      <c r="P9" s="6">
        <f t="shared" si="0"/>
        <v>0.22421257081776144</v>
      </c>
      <c r="Q9" s="6">
        <f t="shared" si="0"/>
        <v>0.34926215138135858</v>
      </c>
      <c r="R9" s="6">
        <f t="shared" si="0"/>
        <v>0.41139731562753135</v>
      </c>
      <c r="S9" s="6">
        <f t="shared" si="0"/>
        <v>0.41252802291348395</v>
      </c>
      <c r="T9" s="6">
        <f t="shared" si="0"/>
        <v>0.36053951830321129</v>
      </c>
      <c r="U9" s="6">
        <f t="shared" si="0"/>
        <v>0.26816562925825599</v>
      </c>
      <c r="V9" s="6">
        <f t="shared" si="0"/>
        <v>0.15137207243643219</v>
      </c>
      <c r="W9" s="6">
        <f t="shared" si="0"/>
        <v>2.7423407966260499E-2</v>
      </c>
      <c r="X9" s="6">
        <f t="shared" si="0"/>
        <v>-8.7141025778322181E-2</v>
      </c>
      <c r="Y9" s="6">
        <f t="shared" si="0"/>
        <v>-0.17837892045578227</v>
      </c>
      <c r="Z9" s="6">
        <f t="shared" si="3"/>
        <v>-0.23643827453855204</v>
      </c>
      <c r="AA9" s="6">
        <f t="shared" si="1"/>
        <v>-0.25649466296975232</v>
      </c>
      <c r="AB9" s="6">
        <f t="shared" si="1"/>
        <v>-0.23902832698590232</v>
      </c>
      <c r="AC9" s="6">
        <f t="shared" si="1"/>
        <v>-0.18942419496900187</v>
      </c>
      <c r="AD9" s="6">
        <f t="shared" si="1"/>
        <v>-0.11696689103552811</v>
      </c>
      <c r="AE9" s="6">
        <f t="shared" si="1"/>
        <v>-3.3380999063003403E-2</v>
      </c>
      <c r="AF9" s="6">
        <f t="shared" si="1"/>
        <v>4.887641674369702E-2</v>
      </c>
      <c r="AG9" s="6">
        <f t="shared" si="1"/>
        <v>0.11833637368171504</v>
      </c>
      <c r="AH9" s="6">
        <f t="shared" si="1"/>
        <v>0.16602178118729438</v>
      </c>
      <c r="AI9" s="6">
        <f t="shared" si="1"/>
        <v>0.18654078335921209</v>
      </c>
      <c r="AJ9" s="6">
        <f t="shared" si="1"/>
        <v>0.17863774316771347</v>
      </c>
      <c r="AK9" s="6">
        <f t="shared" si="1"/>
        <v>0.1451484083926558</v>
      </c>
      <c r="AL9" s="6">
        <f t="shared" si="1"/>
        <v>9.2389545304526879E-2</v>
      </c>
      <c r="AM9" s="6">
        <f t="shared" si="1"/>
        <v>2.9090557963398905E-2</v>
      </c>
      <c r="AN9" s="6">
        <f t="shared" si="1"/>
        <v>-3.4965350458006653E-2</v>
      </c>
      <c r="AO9" s="6">
        <f t="shared" si="1"/>
        <v>-9.038809979990961E-2</v>
      </c>
      <c r="AP9" s="6">
        <f t="shared" si="1"/>
        <v>-0.12950804449184247</v>
      </c>
      <c r="AQ9" s="6">
        <f t="shared" si="1"/>
        <v>-0.14740014946304317</v>
      </c>
      <c r="AR9" s="6">
        <f t="shared" si="1"/>
        <v>-0.14247095020854827</v>
      </c>
      <c r="AS9" s="6">
        <f t="shared" si="1"/>
        <v>-0.11654121365729331</v>
      </c>
      <c r="AT9" s="6">
        <f t="shared" si="1"/>
        <v>-7.4431712843957679E-2</v>
      </c>
      <c r="AU9" s="6">
        <f t="shared" si="1"/>
        <v>-2.3130640937521131E-2</v>
      </c>
      <c r="AV9" s="6">
        <f t="shared" si="1"/>
        <v>2.9321207466405003E-2</v>
      </c>
      <c r="AW9" s="6">
        <f t="shared" si="1"/>
        <v>7.5055190877679354E-2</v>
      </c>
      <c r="AX9" s="6">
        <f t="shared" si="1"/>
        <v>0.10752710169895577</v>
      </c>
      <c r="AY9" s="6">
        <f t="shared" si="1"/>
        <v>0.12243123586005317</v>
      </c>
      <c r="AZ9" s="4">
        <f t="shared" si="4"/>
        <v>19.481818206800487</v>
      </c>
      <c r="BA9" s="4">
        <v>-2.7416</v>
      </c>
      <c r="BB9" s="5">
        <f t="shared" si="5"/>
        <v>64.714752147585685</v>
      </c>
      <c r="BC9" s="24">
        <v>64.720626395234717</v>
      </c>
    </row>
    <row r="10" spans="1:55" x14ac:dyDescent="0.3">
      <c r="A10" s="25">
        <v>-2.6415999999999999</v>
      </c>
      <c r="B10" s="6">
        <f t="shared" si="2"/>
        <v>30.043802330535566</v>
      </c>
      <c r="C10" s="6">
        <f t="shared" si="0"/>
        <v>11.568829208287836</v>
      </c>
      <c r="D10" s="6">
        <f t="shared" si="0"/>
        <v>2.5738245257438379</v>
      </c>
      <c r="E10" s="6">
        <f t="shared" si="0"/>
        <v>-0.61148345999510134</v>
      </c>
      <c r="F10" s="6">
        <f t="shared" si="0"/>
        <v>-1.7504331199257821</v>
      </c>
      <c r="G10" s="6">
        <f t="shared" si="0"/>
        <v>-1.9934530629607303</v>
      </c>
      <c r="H10" s="6">
        <f t="shared" si="0"/>
        <v>-1.7909100099657564</v>
      </c>
      <c r="I10" s="6">
        <f t="shared" si="0"/>
        <v>-1.3663680176018367</v>
      </c>
      <c r="J10" s="6">
        <f t="shared" si="0"/>
        <v>-0.85567643945736105</v>
      </c>
      <c r="K10" s="6">
        <f t="shared" si="0"/>
        <v>-0.35281324559535765</v>
      </c>
      <c r="L10" s="6">
        <f t="shared" si="0"/>
        <v>7.520063694894541E-2</v>
      </c>
      <c r="M10" s="6">
        <f t="shared" si="0"/>
        <v>0.38448613245796182</v>
      </c>
      <c r="N10" s="6">
        <f t="shared" si="0"/>
        <v>0.55387333921623483</v>
      </c>
      <c r="O10" s="6">
        <f t="shared" si="0"/>
        <v>0.58432033679893969</v>
      </c>
      <c r="P10" s="6">
        <f t="shared" si="0"/>
        <v>0.49653323317706027</v>
      </c>
      <c r="Q10" s="6">
        <f t="shared" si="0"/>
        <v>0.32628223522682542</v>
      </c>
      <c r="R10" s="6">
        <f t="shared" si="0"/>
        <v>0.11774479165347096</v>
      </c>
      <c r="S10" s="6">
        <f t="shared" si="0"/>
        <v>-8.4194061701196116E-2</v>
      </c>
      <c r="T10" s="6">
        <f t="shared" si="0"/>
        <v>-0.24142148482431544</v>
      </c>
      <c r="U10" s="6">
        <f t="shared" si="0"/>
        <v>-0.32855945837725964</v>
      </c>
      <c r="V10" s="6">
        <f t="shared" si="0"/>
        <v>-0.33636792015834482</v>
      </c>
      <c r="W10" s="6">
        <f t="shared" si="0"/>
        <v>-0.27203005103234962</v>
      </c>
      <c r="X10" s="6">
        <f t="shared" si="0"/>
        <v>-0.15636857096042484</v>
      </c>
      <c r="Y10" s="6">
        <f t="shared" si="0"/>
        <v>-1.8641787928023443E-2</v>
      </c>
      <c r="Z10" s="6">
        <f t="shared" si="3"/>
        <v>0.10996740549420807</v>
      </c>
      <c r="AA10" s="6">
        <f t="shared" si="1"/>
        <v>0.20282550128297361</v>
      </c>
      <c r="AB10" s="6">
        <f t="shared" si="1"/>
        <v>0.24299096816686969</v>
      </c>
      <c r="AC10" s="6">
        <f t="shared" si="1"/>
        <v>0.22604763954483209</v>
      </c>
      <c r="AD10" s="6">
        <f t="shared" si="1"/>
        <v>0.16016310222643998</v>
      </c>
      <c r="AE10" s="6">
        <f t="shared" si="1"/>
        <v>6.3501354219268169E-2</v>
      </c>
      <c r="AF10" s="6">
        <f t="shared" si="1"/>
        <v>-4.0331537415915594E-2</v>
      </c>
      <c r="AG10" s="6">
        <f t="shared" si="1"/>
        <v>-0.12774259784119274</v>
      </c>
      <c r="AH10" s="6">
        <f t="shared" si="1"/>
        <v>-0.18029520857633241</v>
      </c>
      <c r="AI10" s="6">
        <f t="shared" si="1"/>
        <v>-0.18844689615224708</v>
      </c>
      <c r="AJ10" s="6">
        <f t="shared" si="1"/>
        <v>-0.15313911376774084</v>
      </c>
      <c r="AK10" s="6">
        <f t="shared" si="1"/>
        <v>-8.4995814616370929E-2</v>
      </c>
      <c r="AL10" s="6">
        <f t="shared" si="1"/>
        <v>-1.4213059599865185E-3</v>
      </c>
      <c r="AM10" s="6">
        <f t="shared" si="1"/>
        <v>7.766239151060457E-2</v>
      </c>
      <c r="AN10" s="6">
        <f t="shared" si="1"/>
        <v>0.13442904469480377</v>
      </c>
      <c r="AO10" s="6">
        <f t="shared" si="1"/>
        <v>0.15706741802707769</v>
      </c>
      <c r="AP10" s="6">
        <f t="shared" si="1"/>
        <v>0.14215936725951905</v>
      </c>
      <c r="AQ10" s="6">
        <f t="shared" si="1"/>
        <v>9.5049950222921967E-2</v>
      </c>
      <c r="AR10" s="6">
        <f t="shared" si="1"/>
        <v>2.8213030911272426E-2</v>
      </c>
      <c r="AS10" s="6">
        <f t="shared" si="1"/>
        <v>-4.1932120068112519E-2</v>
      </c>
      <c r="AT10" s="6">
        <f t="shared" si="1"/>
        <v>-9.8965204805843449E-2</v>
      </c>
      <c r="AU10" s="6">
        <f t="shared" si="1"/>
        <v>-0.13024027083644085</v>
      </c>
      <c r="AV10" s="6">
        <f t="shared" si="1"/>
        <v>-0.12963639231472585</v>
      </c>
      <c r="AW10" s="6">
        <f t="shared" si="1"/>
        <v>-9.8694376843798018E-2</v>
      </c>
      <c r="AX10" s="6">
        <f t="shared" si="1"/>
        <v>-4.5941621983849934E-2</v>
      </c>
      <c r="AY10" s="6">
        <f t="shared" si="1"/>
        <v>1.5369845609487096E-2</v>
      </c>
      <c r="AZ10" s="4">
        <f t="shared" si="4"/>
        <v>19.481818206800487</v>
      </c>
      <c r="BA10" s="4">
        <v>-2.6415999999999999</v>
      </c>
      <c r="BB10" s="5">
        <f t="shared" si="5"/>
        <v>56.381658844351051</v>
      </c>
      <c r="BC10" s="24">
        <v>56.617989617916308</v>
      </c>
    </row>
    <row r="11" spans="1:55" x14ac:dyDescent="0.3">
      <c r="A11" s="25">
        <v>-2.5415999999999999</v>
      </c>
      <c r="B11" s="6">
        <f t="shared" si="2"/>
        <v>28.937725494608138</v>
      </c>
      <c r="C11" s="6">
        <f t="shared" si="0"/>
        <v>8.8619126295075539</v>
      </c>
      <c r="D11" s="6">
        <f t="shared" si="0"/>
        <v>8.9279312635246688E-2</v>
      </c>
      <c r="E11" s="6">
        <f t="shared" si="0"/>
        <v>-2.4873093045617134</v>
      </c>
      <c r="F11" s="6">
        <f t="shared" si="0"/>
        <v>-2.8812319305676115</v>
      </c>
      <c r="G11" s="6">
        <f t="shared" si="0"/>
        <v>-2.3761209884394789</v>
      </c>
      <c r="H11" s="6">
        <f t="shared" si="0"/>
        <v>-1.5273021597778234</v>
      </c>
      <c r="I11" s="6">
        <f t="shared" si="0"/>
        <v>-0.64027668903690849</v>
      </c>
      <c r="J11" s="6">
        <f t="shared" si="0"/>
        <v>9.8786101191737918E-2</v>
      </c>
      <c r="K11" s="6">
        <f t="shared" si="0"/>
        <v>0.58580352130187285</v>
      </c>
      <c r="L11" s="6">
        <f t="shared" si="0"/>
        <v>0.7868516184983928</v>
      </c>
      <c r="M11" s="6">
        <f t="shared" si="0"/>
        <v>0.72900302914119841</v>
      </c>
      <c r="N11" s="6">
        <f t="shared" si="0"/>
        <v>0.48602547835081367</v>
      </c>
      <c r="O11" s="6">
        <f t="shared" si="0"/>
        <v>0.15777294335439868</v>
      </c>
      <c r="P11" s="6">
        <f t="shared" si="0"/>
        <v>-0.15396582791784053</v>
      </c>
      <c r="Q11" s="6">
        <f t="shared" si="0"/>
        <v>-0.36831672218939948</v>
      </c>
      <c r="R11" s="6">
        <f t="shared" si="0"/>
        <v>-0.44173885190057827</v>
      </c>
      <c r="S11" s="6">
        <f t="shared" si="0"/>
        <v>-0.37426988855502163</v>
      </c>
      <c r="T11" s="6">
        <f t="shared" si="0"/>
        <v>-0.20444142378241736</v>
      </c>
      <c r="U11" s="6">
        <f t="shared" si="0"/>
        <v>5.2923291844247933E-3</v>
      </c>
      <c r="V11" s="6">
        <f t="shared" si="0"/>
        <v>0.18825599597216114</v>
      </c>
      <c r="W11" s="6">
        <f t="shared" si="0"/>
        <v>0.29275656995287364</v>
      </c>
      <c r="X11" s="6">
        <f t="shared" si="0"/>
        <v>0.29551028440377058</v>
      </c>
      <c r="Y11" s="6">
        <f t="shared" si="0"/>
        <v>0.20587159498493809</v>
      </c>
      <c r="Z11" s="6">
        <f t="shared" si="3"/>
        <v>6.0238904878664623E-2</v>
      </c>
      <c r="AA11" s="6">
        <f t="shared" si="1"/>
        <v>-9.1103118921848053E-2</v>
      </c>
      <c r="AB11" s="6">
        <f t="shared" si="1"/>
        <v>-0.20033440317694107</v>
      </c>
      <c r="AC11" s="6">
        <f t="shared" si="1"/>
        <v>-0.23655007710011336</v>
      </c>
      <c r="AD11" s="6">
        <f t="shared" si="1"/>
        <v>-0.19405645268937491</v>
      </c>
      <c r="AE11" s="6">
        <f t="shared" si="1"/>
        <v>-9.2350729339078841E-2</v>
      </c>
      <c r="AF11" s="6">
        <f t="shared" si="1"/>
        <v>3.1716896649912348E-2</v>
      </c>
      <c r="AG11" s="6">
        <f t="shared" si="1"/>
        <v>0.13671316246091061</v>
      </c>
      <c r="AH11" s="6">
        <f t="shared" si="1"/>
        <v>0.19005396097395941</v>
      </c>
      <c r="AI11" s="6">
        <f t="shared" si="1"/>
        <v>0.17783945383519204</v>
      </c>
      <c r="AJ11" s="6">
        <f t="shared" si="1"/>
        <v>0.10817855117945836</v>
      </c>
      <c r="AK11" s="6">
        <f t="shared" si="1"/>
        <v>7.2930158281571816E-3</v>
      </c>
      <c r="AL11" s="6">
        <f t="shared" si="1"/>
        <v>-8.9978726045057383E-2</v>
      </c>
      <c r="AM11" s="6">
        <f t="shared" si="1"/>
        <v>-0.15194744619328587</v>
      </c>
      <c r="AN11" s="6">
        <f t="shared" si="1"/>
        <v>-0.16020742187543963</v>
      </c>
      <c r="AO11" s="6">
        <f t="shared" si="1"/>
        <v>-0.11494413187792411</v>
      </c>
      <c r="AP11" s="6">
        <f t="shared" si="1"/>
        <v>-3.3925172557733752E-2</v>
      </c>
      <c r="AQ11" s="6">
        <f t="shared" si="1"/>
        <v>5.4201616133678958E-2</v>
      </c>
      <c r="AR11" s="6">
        <f t="shared" si="1"/>
        <v>0.11985543134633819</v>
      </c>
      <c r="AS11" s="6">
        <f t="shared" si="1"/>
        <v>0.14231545126691827</v>
      </c>
      <c r="AT11" s="6">
        <f t="shared" si="1"/>
        <v>0.11615461176971491</v>
      </c>
      <c r="AU11" s="6">
        <f t="shared" si="1"/>
        <v>5.2344191903544376E-2</v>
      </c>
      <c r="AV11" s="6">
        <f t="shared" si="1"/>
        <v>-2.6109164192544915E-2</v>
      </c>
      <c r="AW11" s="6">
        <f t="shared" si="1"/>
        <v>-9.2326506167724254E-2</v>
      </c>
      <c r="AX11" s="6">
        <f t="shared" si="1"/>
        <v>-0.12466446324160453</v>
      </c>
      <c r="AY11" s="6">
        <f t="shared" si="1"/>
        <v>-0.11371154786841547</v>
      </c>
      <c r="AZ11" s="4">
        <f t="shared" si="4"/>
        <v>19.481818206800487</v>
      </c>
      <c r="BA11" s="4">
        <v>-2.5415999999999999</v>
      </c>
      <c r="BB11" s="5">
        <f t="shared" si="5"/>
        <v>49.222387210138592</v>
      </c>
      <c r="BC11" s="24">
        <v>49.352918907797907</v>
      </c>
    </row>
    <row r="12" spans="1:55" x14ac:dyDescent="0.3">
      <c r="A12" s="25">
        <v>-2.4416000000000002</v>
      </c>
      <c r="B12" s="6">
        <f t="shared" si="2"/>
        <v>27.542512471078869</v>
      </c>
      <c r="C12" s="6">
        <f t="shared" si="0"/>
        <v>5.8016995595712721</v>
      </c>
      <c r="D12" s="6">
        <f t="shared" si="0"/>
        <v>-2.403240955574824</v>
      </c>
      <c r="E12" s="6">
        <f t="shared" si="0"/>
        <v>-3.9704437009093665</v>
      </c>
      <c r="F12" s="6">
        <f t="shared" si="0"/>
        <v>-3.3066046781299514</v>
      </c>
      <c r="G12" s="6">
        <f t="shared" si="0"/>
        <v>-1.928741491226253</v>
      </c>
      <c r="H12" s="6">
        <f t="shared" si="0"/>
        <v>-0.54538023909183231</v>
      </c>
      <c r="I12" s="6">
        <f t="shared" si="0"/>
        <v>0.47419788742062702</v>
      </c>
      <c r="J12" s="6">
        <f t="shared" si="0"/>
        <v>0.97848928991211381</v>
      </c>
      <c r="K12" s="6">
        <f t="shared" si="0"/>
        <v>0.9858352322855104</v>
      </c>
      <c r="L12" s="6">
        <f t="shared" si="0"/>
        <v>0.63862504762767269</v>
      </c>
      <c r="M12" s="6">
        <f t="shared" si="0"/>
        <v>0.14383366883463711</v>
      </c>
      <c r="N12" s="6">
        <f t="shared" si="0"/>
        <v>-0.29385084693513774</v>
      </c>
      <c r="O12" s="6">
        <f t="shared" si="0"/>
        <v>-0.53068790398112187</v>
      </c>
      <c r="P12" s="6">
        <f t="shared" si="0"/>
        <v>-0.51831545681577806</v>
      </c>
      <c r="Q12" s="6">
        <f t="shared" si="0"/>
        <v>-0.30477289053981316</v>
      </c>
      <c r="R12" s="6">
        <f t="shared" si="0"/>
        <v>-3.9135536858433406E-3</v>
      </c>
      <c r="S12" s="6">
        <f t="shared" si="0"/>
        <v>0.25426386702169296</v>
      </c>
      <c r="T12" s="6">
        <f t="shared" si="0"/>
        <v>0.37360904351146562</v>
      </c>
      <c r="U12" s="6">
        <f t="shared" si="0"/>
        <v>0.32415468628113392</v>
      </c>
      <c r="V12" s="6">
        <f t="shared" si="0"/>
        <v>0.14628730769012249</v>
      </c>
      <c r="W12" s="6">
        <f t="shared" si="0"/>
        <v>-7.2545085969867376E-2</v>
      </c>
      <c r="X12" s="6">
        <f t="shared" si="0"/>
        <v>-0.23741426211920155</v>
      </c>
      <c r="Y12" s="6">
        <f t="shared" si="0"/>
        <v>-0.2849750527726681</v>
      </c>
      <c r="Z12" s="6">
        <f t="shared" si="3"/>
        <v>-0.20648743359636995</v>
      </c>
      <c r="AA12" s="6">
        <f t="shared" si="1"/>
        <v>-4.6695025281047617E-2</v>
      </c>
      <c r="AB12" s="6">
        <f t="shared" si="1"/>
        <v>0.11924253783290102</v>
      </c>
      <c r="AC12" s="6">
        <f t="shared" si="1"/>
        <v>0.21971789511640821</v>
      </c>
      <c r="AD12" s="6">
        <f t="shared" si="1"/>
        <v>0.21667829225098684</v>
      </c>
      <c r="AE12" s="6">
        <f t="shared" si="1"/>
        <v>0.1193517039832707</v>
      </c>
      <c r="AF12" s="6">
        <f t="shared" si="1"/>
        <v>-2.3047395185102973E-2</v>
      </c>
      <c r="AG12" s="6">
        <f t="shared" si="1"/>
        <v>-0.14521747389301798</v>
      </c>
      <c r="AH12" s="6">
        <f t="shared" si="1"/>
        <v>-0.19505367472933538</v>
      </c>
      <c r="AI12" s="6">
        <f t="shared" si="1"/>
        <v>-0.15542282892211798</v>
      </c>
      <c r="AJ12" s="6">
        <f t="shared" si="1"/>
        <v>-4.9469941579130018E-2</v>
      </c>
      <c r="AK12" s="6">
        <f t="shared" si="1"/>
        <v>7.1915667967650157E-2</v>
      </c>
      <c r="AL12" s="6">
        <f t="shared" si="1"/>
        <v>0.15404322678413573</v>
      </c>
      <c r="AM12" s="6">
        <f t="shared" si="1"/>
        <v>0.16270865618288102</v>
      </c>
      <c r="AN12" s="6">
        <f t="shared" si="1"/>
        <v>9.8170441129200425E-2</v>
      </c>
      <c r="AO12" s="6">
        <f t="shared" si="1"/>
        <v>-6.8024209116517853E-3</v>
      </c>
      <c r="AP12" s="6">
        <f t="shared" si="1"/>
        <v>-0.10315736410659893</v>
      </c>
      <c r="AQ12" s="6">
        <f t="shared" si="1"/>
        <v>-0.14819580791030293</v>
      </c>
      <c r="AR12" s="6">
        <f t="shared" si="1"/>
        <v>-0.12428894621707547</v>
      </c>
      <c r="AS12" s="6">
        <f t="shared" si="1"/>
        <v>-4.5544312092159693E-2</v>
      </c>
      <c r="AT12" s="6">
        <f t="shared" si="1"/>
        <v>4.9995396314703788E-2</v>
      </c>
      <c r="AU12" s="6">
        <f t="shared" si="1"/>
        <v>0.11849920405172801</v>
      </c>
      <c r="AV12" s="6">
        <f t="shared" si="1"/>
        <v>0.130283307611684</v>
      </c>
      <c r="AW12" s="6">
        <f t="shared" si="1"/>
        <v>8.2537425975416634E-2</v>
      </c>
      <c r="AX12" s="6">
        <f t="shared" si="1"/>
        <v>-5.6130686012009073E-4</v>
      </c>
      <c r="AY12" s="6">
        <f t="shared" si="1"/>
        <v>-7.9881177971005995E-2</v>
      </c>
      <c r="AZ12" s="4">
        <f t="shared" si="4"/>
        <v>19.481818206800487</v>
      </c>
      <c r="BA12" s="4">
        <v>-2.4416000000000002</v>
      </c>
      <c r="BB12" s="5">
        <f t="shared" si="5"/>
        <v>42.957758796229882</v>
      </c>
      <c r="BC12" s="24">
        <v>42.863215864879528</v>
      </c>
    </row>
    <row r="13" spans="1:55" x14ac:dyDescent="0.3">
      <c r="A13" s="25">
        <v>-2.3416000000000001</v>
      </c>
      <c r="B13" s="6">
        <f t="shared" si="2"/>
        <v>25.872103767282745</v>
      </c>
      <c r="C13" s="6">
        <f t="shared" si="0"/>
        <v>2.510191036516543</v>
      </c>
      <c r="D13" s="6">
        <f t="shared" si="0"/>
        <v>-4.6810868666786911</v>
      </c>
      <c r="E13" s="6">
        <f t="shared" si="0"/>
        <v>-4.8267323390224428</v>
      </c>
      <c r="F13" s="6">
        <f t="shared" si="0"/>
        <v>-2.9224052786163384</v>
      </c>
      <c r="G13" s="6">
        <f t="shared" si="0"/>
        <v>-0.80759710088658054</v>
      </c>
      <c r="H13" s="6">
        <f t="shared" si="0"/>
        <v>0.69304252984035453</v>
      </c>
      <c r="I13" s="6">
        <f t="shared" si="0"/>
        <v>1.3010303884853178</v>
      </c>
      <c r="J13" s="6">
        <f t="shared" si="0"/>
        <v>1.1176912917191753</v>
      </c>
      <c r="K13" s="6">
        <f t="shared" si="0"/>
        <v>0.47949457711795851</v>
      </c>
      <c r="L13" s="6">
        <f t="shared" si="0"/>
        <v>-0.20749592920011939</v>
      </c>
      <c r="M13" s="6">
        <f t="shared" si="0"/>
        <v>-0.62476453862707748</v>
      </c>
      <c r="N13" s="6">
        <f t="shared" si="0"/>
        <v>-0.64323499304180087</v>
      </c>
      <c r="O13" s="6">
        <f t="shared" si="0"/>
        <v>-0.3381719569771775</v>
      </c>
      <c r="P13" s="6">
        <f t="shared" si="0"/>
        <v>8.0637457925306355E-2</v>
      </c>
      <c r="Q13" s="6">
        <f t="shared" si="0"/>
        <v>0.38611516781768912</v>
      </c>
      <c r="R13" s="6">
        <f t="shared" si="0"/>
        <v>0.44274733159167962</v>
      </c>
      <c r="S13" s="6">
        <f t="shared" si="0"/>
        <v>0.25873132217083566</v>
      </c>
      <c r="T13" s="6">
        <f t="shared" si="0"/>
        <v>-3.7126387923801074E-2</v>
      </c>
      <c r="U13" s="6">
        <f t="shared" si="0"/>
        <v>-0.27508422368007185</v>
      </c>
      <c r="V13" s="6">
        <f t="shared" si="0"/>
        <v>-0.33596115085167771</v>
      </c>
      <c r="W13" s="6">
        <f t="shared" si="0"/>
        <v>-0.20737084166356831</v>
      </c>
      <c r="X13" s="6">
        <f t="shared" si="0"/>
        <v>2.0856575515963899E-2</v>
      </c>
      <c r="Y13" s="6">
        <f t="shared" si="0"/>
        <v>0.21440603101626043</v>
      </c>
      <c r="Z13" s="6">
        <f t="shared" si="3"/>
        <v>0.27061327335413993</v>
      </c>
      <c r="AA13" s="6">
        <f t="shared" si="1"/>
        <v>0.17112800292506136</v>
      </c>
      <c r="AB13" s="6">
        <f t="shared" si="1"/>
        <v>-1.5273310019343844E-2</v>
      </c>
      <c r="AC13" s="6">
        <f t="shared" si="1"/>
        <v>-0.17749614174663197</v>
      </c>
      <c r="AD13" s="6">
        <f t="shared" si="1"/>
        <v>-0.22671466145415381</v>
      </c>
      <c r="AE13" s="6">
        <f t="shared" si="1"/>
        <v>-0.14396385346074936</v>
      </c>
      <c r="AF13" s="6">
        <f t="shared" si="1"/>
        <v>1.4338028653444621E-2</v>
      </c>
      <c r="AG13" s="6">
        <f t="shared" si="1"/>
        <v>0.15322652862211306</v>
      </c>
      <c r="AH13" s="6">
        <f t="shared" si="1"/>
        <v>0.19516915470924615</v>
      </c>
      <c r="AI13" s="6">
        <f t="shared" si="1"/>
        <v>0.1226855663397875</v>
      </c>
      <c r="AJ13" s="6">
        <f t="shared" si="1"/>
        <v>-1.5525635956137832E-2</v>
      </c>
      <c r="AK13" s="6">
        <f t="shared" si="1"/>
        <v>-0.13627497686072626</v>
      </c>
      <c r="AL13" s="6">
        <f t="shared" si="1"/>
        <v>-0.17130940499574246</v>
      </c>
      <c r="AM13" s="6">
        <f t="shared" si="1"/>
        <v>-0.10544714078599969</v>
      </c>
      <c r="AN13" s="6">
        <f t="shared" si="1"/>
        <v>1.7677232808911404E-2</v>
      </c>
      <c r="AO13" s="6">
        <f t="shared" si="1"/>
        <v>0.12383684994858943</v>
      </c>
      <c r="AP13" s="6">
        <f t="shared" si="1"/>
        <v>0.15251981885718574</v>
      </c>
      <c r="AQ13" s="6">
        <f t="shared" si="1"/>
        <v>9.1107580877029595E-2</v>
      </c>
      <c r="AR13" s="6">
        <f t="shared" si="1"/>
        <v>-2.0225617861345569E-2</v>
      </c>
      <c r="AS13" s="6">
        <f t="shared" si="1"/>
        <v>-0.11432092297396618</v>
      </c>
      <c r="AT13" s="6">
        <f t="shared" si="1"/>
        <v>-0.13723225083774895</v>
      </c>
      <c r="AU13" s="6">
        <f t="shared" si="1"/>
        <v>-7.8924162251933827E-2</v>
      </c>
      <c r="AV13" s="6">
        <f t="shared" si="1"/>
        <v>2.2881092086876963E-2</v>
      </c>
      <c r="AW13" s="6">
        <f t="shared" si="1"/>
        <v>0.10677038790483756</v>
      </c>
      <c r="AX13" s="6">
        <f t="shared" si="1"/>
        <v>0.12445508189669625</v>
      </c>
      <c r="AY13" s="6">
        <f t="shared" si="1"/>
        <v>6.8393008827151214E-2</v>
      </c>
      <c r="AZ13" s="4">
        <f t="shared" si="4"/>
        <v>19.481818206800487</v>
      </c>
      <c r="BA13" s="4">
        <v>-2.3416000000000001</v>
      </c>
      <c r="BB13" s="5">
        <f t="shared" si="5"/>
        <v>37.243927605237552</v>
      </c>
      <c r="BC13" s="24">
        <v>37.089082089161124</v>
      </c>
    </row>
    <row r="14" spans="1:55" x14ac:dyDescent="0.3">
      <c r="A14" s="25">
        <v>-2.2416</v>
      </c>
      <c r="B14" s="6">
        <f t="shared" si="2"/>
        <v>23.9431895548244</v>
      </c>
      <c r="C14" s="6">
        <f t="shared" si="0"/>
        <v>-0.88139088179821723</v>
      </c>
      <c r="D14" s="6">
        <f t="shared" si="0"/>
        <v>-6.5407852294347899</v>
      </c>
      <c r="E14" s="6">
        <f t="shared" si="0"/>
        <v>-4.9209860710223952</v>
      </c>
      <c r="F14" s="6">
        <f t="shared" si="0"/>
        <v>-1.8226991444501988</v>
      </c>
      <c r="G14" s="6">
        <f t="shared" si="0"/>
        <v>0.59566419150725791</v>
      </c>
      <c r="H14" s="6">
        <f t="shared" si="0"/>
        <v>1.6055165679003784</v>
      </c>
      <c r="I14" s="6">
        <f t="shared" si="0"/>
        <v>1.3386753140239118</v>
      </c>
      <c r="J14" s="6">
        <f t="shared" si="0"/>
        <v>0.41104680685179146</v>
      </c>
      <c r="K14" s="6">
        <f t="shared" si="0"/>
        <v>-0.46769118094930706</v>
      </c>
      <c r="L14" s="6">
        <f t="shared" si="0"/>
        <v>-0.82686374502121218</v>
      </c>
      <c r="M14" s="6">
        <f t="shared" si="0"/>
        <v>-0.59661021942176196</v>
      </c>
      <c r="N14" s="6">
        <f t="shared" si="0"/>
        <v>-5.027836740291175E-2</v>
      </c>
      <c r="O14" s="6">
        <f t="shared" si="0"/>
        <v>0.41573166130833422</v>
      </c>
      <c r="P14" s="6">
        <f t="shared" si="0"/>
        <v>0.5297235930622447</v>
      </c>
      <c r="Q14" s="6">
        <f t="shared" si="0"/>
        <v>0.28222413363269522</v>
      </c>
      <c r="R14" s="6">
        <f t="shared" si="0"/>
        <v>-0.1101775583934051</v>
      </c>
      <c r="S14" s="6">
        <f t="shared" si="0"/>
        <v>-0.37183246374154677</v>
      </c>
      <c r="T14" s="6">
        <f t="shared" si="0"/>
        <v>-0.34960389576928225</v>
      </c>
      <c r="U14" s="6">
        <f t="shared" si="0"/>
        <v>-9.5203827344156E-2</v>
      </c>
      <c r="V14" s="6">
        <f t="shared" si="0"/>
        <v>0.1929300489185875</v>
      </c>
      <c r="W14" s="6">
        <f t="shared" si="0"/>
        <v>0.31662102998025088</v>
      </c>
      <c r="X14" s="6">
        <f t="shared" si="0"/>
        <v>0.20962178981460566</v>
      </c>
      <c r="Y14" s="6">
        <f t="shared" si="0"/>
        <v>-3.1228266918397155E-2</v>
      </c>
      <c r="Z14" s="6">
        <f t="shared" si="3"/>
        <v>-0.22711275886348381</v>
      </c>
      <c r="AA14" s="6">
        <f t="shared" si="1"/>
        <v>-0.24658029690489888</v>
      </c>
      <c r="AB14" s="6">
        <f t="shared" si="1"/>
        <v>-9.1626189623143325E-2</v>
      </c>
      <c r="AC14" s="6">
        <f t="shared" si="1"/>
        <v>0.11476376515592793</v>
      </c>
      <c r="AD14" s="6">
        <f t="shared" si="1"/>
        <v>0.22358261114508532</v>
      </c>
      <c r="AE14" s="6">
        <f t="shared" si="1"/>
        <v>0.16569456543238514</v>
      </c>
      <c r="AF14" s="6">
        <f t="shared" si="1"/>
        <v>-5.6038616414609971E-3</v>
      </c>
      <c r="AG14" s="6">
        <f t="shared" si="1"/>
        <v>-0.16071301218022332</v>
      </c>
      <c r="AH14" s="6">
        <f t="shared" si="1"/>
        <v>-0.19039750924185281</v>
      </c>
      <c r="AI14" s="6">
        <f t="shared" si="1"/>
        <v>-8.1801538663669904E-2</v>
      </c>
      <c r="AJ14" s="6">
        <f t="shared" si="1"/>
        <v>7.8548112810265427E-2</v>
      </c>
      <c r="AK14" s="6">
        <f t="shared" si="1"/>
        <v>0.17249579690354364</v>
      </c>
      <c r="AL14" s="6">
        <f t="shared" si="1"/>
        <v>0.13653179683422445</v>
      </c>
      <c r="AM14" s="6">
        <f t="shared" si="1"/>
        <v>4.1019111679589521E-3</v>
      </c>
      <c r="AN14" s="6">
        <f t="shared" si="1"/>
        <v>-0.12383538981891103</v>
      </c>
      <c r="AO14" s="6">
        <f t="shared" si="1"/>
        <v>-0.15508791308182557</v>
      </c>
      <c r="AP14" s="6">
        <f t="shared" si="1"/>
        <v>-7.2186724293454463E-2</v>
      </c>
      <c r="AQ14" s="6">
        <f t="shared" si="1"/>
        <v>5.8862853048029878E-2</v>
      </c>
      <c r="AR14" s="6">
        <f t="shared" si="1"/>
        <v>0.140501768004341</v>
      </c>
      <c r="AS14" s="6">
        <f t="shared" si="1"/>
        <v>0.11581346680450139</v>
      </c>
      <c r="AT14" s="6">
        <f t="shared" si="1"/>
        <v>7.8605677313515407E-3</v>
      </c>
      <c r="AU14" s="6">
        <f t="shared" si="1"/>
        <v>-0.10079611558615481</v>
      </c>
      <c r="AV14" s="6">
        <f t="shared" si="1"/>
        <v>-0.13085023991073896</v>
      </c>
      <c r="AW14" s="6">
        <f t="shared" si="1"/>
        <v>-6.3852825169198296E-2</v>
      </c>
      <c r="AX14" s="6">
        <f t="shared" si="1"/>
        <v>4.6986131282586663E-2</v>
      </c>
      <c r="AY14" s="6">
        <f t="shared" si="1"/>
        <v>0.11868219867963739</v>
      </c>
      <c r="AZ14" s="4">
        <f t="shared" si="4"/>
        <v>19.481818206800487</v>
      </c>
      <c r="BA14" s="4">
        <v>-2.2416</v>
      </c>
      <c r="BB14" s="5">
        <f t="shared" si="5"/>
        <v>31.991393216978189</v>
      </c>
      <c r="BC14" s="24">
        <v>31.973119180642719</v>
      </c>
    </row>
    <row r="15" spans="1:55" x14ac:dyDescent="0.3">
      <c r="A15" s="25">
        <v>-2.1415999999999999</v>
      </c>
      <c r="B15" s="6">
        <f t="shared" si="2"/>
        <v>21.775042906900453</v>
      </c>
      <c r="C15" s="6">
        <f t="shared" si="0"/>
        <v>-4.2378345270454485</v>
      </c>
      <c r="D15" s="6">
        <f t="shared" si="0"/>
        <v>-7.8162147277470142</v>
      </c>
      <c r="E15" s="6">
        <f t="shared" si="0"/>
        <v>-4.2383243050780344</v>
      </c>
      <c r="F15" s="6">
        <f t="shared" si="0"/>
        <v>-0.27673269086765306</v>
      </c>
      <c r="G15" s="6">
        <f t="shared" si="0"/>
        <v>1.7908428444412179</v>
      </c>
      <c r="H15" s="6">
        <f t="shared" si="0"/>
        <v>1.7628910771884638</v>
      </c>
      <c r="I15" s="6">
        <f t="shared" si="0"/>
        <v>0.56429775735044652</v>
      </c>
      <c r="J15" s="6">
        <f t="shared" si="0"/>
        <v>-0.60666970658937291</v>
      </c>
      <c r="K15" s="6">
        <f t="shared" si="0"/>
        <v>-0.98488382412016651</v>
      </c>
      <c r="L15" s="6">
        <f t="shared" si="0"/>
        <v>-0.54262844617798034</v>
      </c>
      <c r="M15" s="6">
        <f t="shared" si="0"/>
        <v>0.1923918598120703</v>
      </c>
      <c r="N15" s="6">
        <f t="shared" si="0"/>
        <v>0.6163361842709294</v>
      </c>
      <c r="O15" s="6">
        <f t="shared" si="0"/>
        <v>0.47949340234867216</v>
      </c>
      <c r="P15" s="6">
        <f t="shared" si="0"/>
        <v>-5.6951286641380161E-3</v>
      </c>
      <c r="Q15" s="6">
        <f t="shared" si="0"/>
        <v>-0.40259678758562945</v>
      </c>
      <c r="R15" s="6">
        <f t="shared" si="0"/>
        <v>-0.4143557880038512</v>
      </c>
      <c r="S15" s="6">
        <f t="shared" si="0"/>
        <v>-8.9769092896893943E-2</v>
      </c>
      <c r="T15" s="6">
        <f t="shared" si="0"/>
        <v>0.26317297199789141</v>
      </c>
      <c r="U15" s="6">
        <f t="shared" si="0"/>
        <v>0.35432176683297356</v>
      </c>
      <c r="V15" s="6">
        <f t="shared" si="0"/>
        <v>0.14116118353805956</v>
      </c>
      <c r="W15" s="6">
        <f t="shared" si="0"/>
        <v>-0.16529281811626328</v>
      </c>
      <c r="X15" s="6">
        <f t="shared" si="0"/>
        <v>-0.30018851969842519</v>
      </c>
      <c r="Y15" s="6">
        <f t="shared" si="0"/>
        <v>-0.16835097547051897</v>
      </c>
      <c r="Z15" s="6">
        <f t="shared" si="3"/>
        <v>9.3286600191320859E-2</v>
      </c>
      <c r="AA15" s="6">
        <f t="shared" si="1"/>
        <v>0.25145576351530774</v>
      </c>
      <c r="AB15" s="6">
        <f t="shared" si="1"/>
        <v>0.18094668105425729</v>
      </c>
      <c r="AC15" s="6">
        <f t="shared" si="1"/>
        <v>-3.8769825111701572E-2</v>
      </c>
      <c r="AD15" s="6">
        <f t="shared" si="1"/>
        <v>-0.20746406229941899</v>
      </c>
      <c r="AE15" s="6">
        <f t="shared" si="1"/>
        <v>-0.18410889955031634</v>
      </c>
      <c r="AF15" s="6">
        <f t="shared" si="1"/>
        <v>-3.1399983669440079E-3</v>
      </c>
      <c r="AG15" s="6">
        <f t="shared" si="1"/>
        <v>0.16765139230139783</v>
      </c>
      <c r="AH15" s="6">
        <f t="shared" si="1"/>
        <v>0.18085822252548459</v>
      </c>
      <c r="AI15" s="6">
        <f t="shared" si="1"/>
        <v>3.5485593120722136E-2</v>
      </c>
      <c r="AJ15" s="6">
        <f t="shared" si="1"/>
        <v>-0.13158817507435205</v>
      </c>
      <c r="AK15" s="6">
        <f t="shared" si="1"/>
        <v>-0.17309913845030994</v>
      </c>
      <c r="AL15" s="6">
        <f t="shared" si="1"/>
        <v>-6.0275837453426614E-2</v>
      </c>
      <c r="AM15" s="6">
        <f t="shared" si="1"/>
        <v>9.8958182204008219E-2</v>
      </c>
      <c r="AN15" s="6">
        <f t="shared" si="1"/>
        <v>0.16211498693661708</v>
      </c>
      <c r="AO15" s="6">
        <f t="shared" si="1"/>
        <v>7.8907600169381725E-2</v>
      </c>
      <c r="AP15" s="6">
        <f t="shared" si="1"/>
        <v>-6.9530503365842045E-2</v>
      </c>
      <c r="AQ15" s="6">
        <f t="shared" si="1"/>
        <v>-0.14882388224059739</v>
      </c>
      <c r="AR15" s="6">
        <f t="shared" si="1"/>
        <v>-9.2400366722478838E-2</v>
      </c>
      <c r="AS15" s="6">
        <f t="shared" si="1"/>
        <v>4.3134352703610525E-2</v>
      </c>
      <c r="AT15" s="6">
        <f t="shared" si="1"/>
        <v>0.1339183015199289</v>
      </c>
      <c r="AU15" s="6">
        <f t="shared" ref="AA15:AY25" si="6">SUM(((((8*(POWER(PI(),2))*(POWER(AU$4,2)))-48)*(POWER((-1),AU$4))/(POWER(AU$4,4)))*COS(AU$4*$A15))+(((6*POWER((-1),AU$4))/AU$4)*SIN(AU$4*$A15)))</f>
        <v>0.10153324038838388</v>
      </c>
      <c r="AV15" s="6">
        <f t="shared" si="6"/>
        <v>-1.9638972914292393E-2</v>
      </c>
      <c r="AW15" s="6">
        <f t="shared" si="6"/>
        <v>-0.11794450248892212</v>
      </c>
      <c r="AX15" s="6">
        <f t="shared" si="6"/>
        <v>-0.10692809254566486</v>
      </c>
      <c r="AY15" s="6">
        <f t="shared" si="6"/>
        <v>-1.0617051210561994E-3</v>
      </c>
      <c r="AZ15" s="4">
        <f t="shared" si="4"/>
        <v>19.481818206800487</v>
      </c>
      <c r="BA15" s="4">
        <v>-2.1415999999999999</v>
      </c>
      <c r="BB15" s="5">
        <f t="shared" si="5"/>
        <v>27.345709778345366</v>
      </c>
      <c r="BC15" s="24">
        <v>27.460328739324311</v>
      </c>
    </row>
    <row r="16" spans="1:55" x14ac:dyDescent="0.3">
      <c r="A16" s="25">
        <v>-2.0415999999999999</v>
      </c>
      <c r="B16" s="6">
        <f t="shared" si="2"/>
        <v>19.389327228122951</v>
      </c>
      <c r="C16" s="6">
        <f t="shared" si="0"/>
        <v>-7.4253290829595633</v>
      </c>
      <c r="D16" s="6">
        <f t="shared" si="0"/>
        <v>-8.3934450430805807</v>
      </c>
      <c r="E16" s="6">
        <f t="shared" si="0"/>
        <v>-2.8865243236611278</v>
      </c>
      <c r="F16" s="6">
        <f t="shared" si="0"/>
        <v>1.3369875768293009</v>
      </c>
      <c r="G16" s="6">
        <f t="shared" si="0"/>
        <v>2.3604285689397182</v>
      </c>
      <c r="H16" s="6">
        <f t="shared" si="0"/>
        <v>1.0911503669418869</v>
      </c>
      <c r="I16" s="6">
        <f t="shared" ref="C16:Y26" si="7">SUM(((((8*(POWER(PI(),2))*(POWER(I$4,2)))-48)*(POWER((-1),I$4))/(POWER(I$4,4)))*COS(I$4*$A16))+(((6*POWER((-1),I$4))/I$4)*SIN(I$4*$A16)))</f>
        <v>-0.55237524679268279</v>
      </c>
      <c r="J16" s="6">
        <f t="shared" si="7"/>
        <v>-1.1652706809793802</v>
      </c>
      <c r="K16" s="6">
        <f t="shared" si="7"/>
        <v>-0.59657882141940477</v>
      </c>
      <c r="L16" s="6">
        <f t="shared" si="7"/>
        <v>0.33459542789817448</v>
      </c>
      <c r="M16" s="6">
        <f t="shared" si="7"/>
        <v>0.7360395840239462</v>
      </c>
      <c r="N16" s="6">
        <f t="shared" si="7"/>
        <v>0.3800167820657539</v>
      </c>
      <c r="O16" s="6">
        <f t="shared" si="7"/>
        <v>-0.25273541403489541</v>
      </c>
      <c r="P16" s="6">
        <f t="shared" si="7"/>
        <v>-0.53052930799192199</v>
      </c>
      <c r="Q16" s="6">
        <f t="shared" si="7"/>
        <v>-0.25871286587762649</v>
      </c>
      <c r="R16" s="6">
        <f t="shared" si="7"/>
        <v>0.21695248232096437</v>
      </c>
      <c r="S16" s="6">
        <f t="shared" si="7"/>
        <v>0.41262391563129147</v>
      </c>
      <c r="T16" s="6">
        <f t="shared" si="7"/>
        <v>0.17944174351452336</v>
      </c>
      <c r="U16" s="6">
        <f t="shared" si="7"/>
        <v>-0.19969593743051839</v>
      </c>
      <c r="V16" s="6">
        <f t="shared" si="7"/>
        <v>-0.33545939617837767</v>
      </c>
      <c r="W16" s="6">
        <f t="shared" si="7"/>
        <v>-0.12207101370883888</v>
      </c>
      <c r="X16" s="6">
        <f t="shared" si="7"/>
        <v>0.19039503526248999</v>
      </c>
      <c r="Y16" s="6">
        <f t="shared" si="7"/>
        <v>0.27951016955279695</v>
      </c>
      <c r="Z16" s="6">
        <f t="shared" si="3"/>
        <v>7.7640830544771638E-2</v>
      </c>
      <c r="AA16" s="6">
        <f t="shared" si="6"/>
        <v>-0.18435893454723917</v>
      </c>
      <c r="AB16" s="6">
        <f t="shared" si="6"/>
        <v>-0.23555151744005781</v>
      </c>
      <c r="AC16" s="6">
        <f t="shared" si="6"/>
        <v>-4.1704174427805538E-2</v>
      </c>
      <c r="AD16" s="6">
        <f t="shared" si="6"/>
        <v>0.17929523938436398</v>
      </c>
      <c r="AE16" s="6">
        <f t="shared" si="6"/>
        <v>0.19883829279197085</v>
      </c>
      <c r="AF16" s="6">
        <f t="shared" si="6"/>
        <v>1.1878427121886942E-2</v>
      </c>
      <c r="AG16" s="6">
        <f t="shared" si="6"/>
        <v>-0.17401800599818087</v>
      </c>
      <c r="AH16" s="6">
        <f t="shared" si="6"/>
        <v>-0.16679016268933161</v>
      </c>
      <c r="AI16" s="6">
        <f t="shared" si="6"/>
        <v>1.3186724080218655E-2</v>
      </c>
      <c r="AJ16" s="6">
        <f t="shared" si="6"/>
        <v>0.16790514022327371</v>
      </c>
      <c r="AK16" s="6">
        <f t="shared" si="6"/>
        <v>0.13796042162746597</v>
      </c>
      <c r="AL16" s="6">
        <f t="shared" si="6"/>
        <v>-3.4291917522979581E-2</v>
      </c>
      <c r="AM16" s="6">
        <f t="shared" si="6"/>
        <v>-0.16064736507418559</v>
      </c>
      <c r="AN16" s="6">
        <f t="shared" si="6"/>
        <v>-0.11153362220563731</v>
      </c>
      <c r="AO16" s="6">
        <f t="shared" si="6"/>
        <v>5.1933014105082012E-2</v>
      </c>
      <c r="AP16" s="6">
        <f t="shared" si="6"/>
        <v>0.15212232099184961</v>
      </c>
      <c r="AQ16" s="6">
        <f t="shared" si="6"/>
        <v>8.7062184436743018E-2</v>
      </c>
      <c r="AR16" s="6">
        <f t="shared" si="6"/>
        <v>-6.6433787039829856E-2</v>
      </c>
      <c r="AS16" s="6">
        <f t="shared" si="6"/>
        <v>-0.14232667562662496</v>
      </c>
      <c r="AT16" s="6">
        <f t="shared" si="6"/>
        <v>-6.4319398585962764E-2</v>
      </c>
      <c r="AU16" s="6">
        <f t="shared" si="6"/>
        <v>7.8021696631233359E-2</v>
      </c>
      <c r="AV16" s="6">
        <f t="shared" si="6"/>
        <v>0.13133684116312283</v>
      </c>
      <c r="AW16" s="6">
        <f t="shared" si="6"/>
        <v>4.321277702909343E-2</v>
      </c>
      <c r="AX16" s="6">
        <f t="shared" si="6"/>
        <v>-8.6872955079644612E-2</v>
      </c>
      <c r="AY16" s="6">
        <f t="shared" si="6"/>
        <v>-0.11928452986954999</v>
      </c>
      <c r="AZ16" s="4">
        <f t="shared" si="4"/>
        <v>19.481818206800487</v>
      </c>
      <c r="BA16" s="4">
        <v>-2.0415999999999999</v>
      </c>
      <c r="BB16" s="5">
        <f t="shared" si="5"/>
        <v>23.412820817813412</v>
      </c>
      <c r="BC16" s="24">
        <v>23.498112365205913</v>
      </c>
    </row>
    <row r="17" spans="1:55" x14ac:dyDescent="0.3">
      <c r="A17" s="25">
        <v>-1.9416</v>
      </c>
      <c r="B17" s="6">
        <f t="shared" si="2"/>
        <v>16.809879800941509</v>
      </c>
      <c r="C17" s="6">
        <f t="shared" si="7"/>
        <v>-10.316799200316991</v>
      </c>
      <c r="D17" s="6">
        <f t="shared" si="7"/>
        <v>-8.2209139105036311</v>
      </c>
      <c r="E17" s="6">
        <f t="shared" si="7"/>
        <v>-1.0790056204516159</v>
      </c>
      <c r="F17" s="6">
        <f t="shared" si="7"/>
        <v>2.6233666566465623</v>
      </c>
      <c r="G17" s="6">
        <f t="shared" si="7"/>
        <v>2.1054486843512521</v>
      </c>
      <c r="H17" s="6">
        <f t="shared" si="7"/>
        <v>-9.3775410572252804E-2</v>
      </c>
      <c r="I17" s="6">
        <f t="shared" si="7"/>
        <v>-1.3339848383859618</v>
      </c>
      <c r="J17" s="6">
        <f t="shared" si="7"/>
        <v>-0.84201803547128229</v>
      </c>
      <c r="K17" s="6">
        <f t="shared" si="7"/>
        <v>0.34021799843016032</v>
      </c>
      <c r="L17" s="6">
        <f t="shared" si="7"/>
        <v>0.84617082286066603</v>
      </c>
      <c r="M17" s="6">
        <f t="shared" si="7"/>
        <v>0.34102744193365475</v>
      </c>
      <c r="N17" s="6">
        <f t="shared" si="7"/>
        <v>-0.41302809615037955</v>
      </c>
      <c r="O17" s="6">
        <f t="shared" si="7"/>
        <v>-0.56540683481511422</v>
      </c>
      <c r="P17" s="6">
        <f t="shared" si="7"/>
        <v>-6.9361188635963023E-2</v>
      </c>
      <c r="Q17" s="6">
        <f t="shared" si="7"/>
        <v>0.41770537177927747</v>
      </c>
      <c r="R17" s="6">
        <f t="shared" si="7"/>
        <v>0.35844952226224436</v>
      </c>
      <c r="S17" s="6">
        <f t="shared" si="7"/>
        <v>-9.7728943006892749E-2</v>
      </c>
      <c r="T17" s="6">
        <f t="shared" si="7"/>
        <v>-0.37919625907397519</v>
      </c>
      <c r="U17" s="6">
        <f t="shared" si="7"/>
        <v>-0.18811610156692268</v>
      </c>
      <c r="V17" s="6">
        <f t="shared" si="7"/>
        <v>0.19754955528608784</v>
      </c>
      <c r="W17" s="6">
        <f t="shared" si="7"/>
        <v>0.308970674020553</v>
      </c>
      <c r="X17" s="6">
        <f t="shared" si="7"/>
        <v>4.6477226566178809E-2</v>
      </c>
      <c r="Y17" s="6">
        <f t="shared" si="7"/>
        <v>-0.24386710944568141</v>
      </c>
      <c r="Z17" s="6">
        <f t="shared" si="3"/>
        <v>-0.21768951158473118</v>
      </c>
      <c r="AA17" s="6">
        <f t="shared" si="6"/>
        <v>6.4494431677912994E-2</v>
      </c>
      <c r="AB17" s="6">
        <f t="shared" si="6"/>
        <v>0.24496444880054749</v>
      </c>
      <c r="AC17" s="6">
        <f t="shared" si="6"/>
        <v>0.11735903480174334</v>
      </c>
      <c r="AD17" s="6">
        <f t="shared" si="6"/>
        <v>-0.14071229100597749</v>
      </c>
      <c r="AE17" s="6">
        <f t="shared" si="6"/>
        <v>-0.20958793625147162</v>
      </c>
      <c r="AF17" s="6">
        <f t="shared" si="6"/>
        <v>-2.0596309767932364E-2</v>
      </c>
      <c r="AG17" s="6">
        <f t="shared" si="6"/>
        <v>0.17979114026300941</v>
      </c>
      <c r="AH17" s="6">
        <f t="shared" si="6"/>
        <v>0.14854560042556214</v>
      </c>
      <c r="AI17" s="6">
        <f t="shared" si="6"/>
        <v>-6.0983395134323652E-2</v>
      </c>
      <c r="AJ17" s="6">
        <f t="shared" si="6"/>
        <v>-0.18288360771081308</v>
      </c>
      <c r="AK17" s="6">
        <f t="shared" si="6"/>
        <v>-7.4335199980566535E-2</v>
      </c>
      <c r="AL17" s="6">
        <f t="shared" si="6"/>
        <v>0.1184417901307241</v>
      </c>
      <c r="AM17" s="6">
        <f t="shared" si="6"/>
        <v>0.15517557535160945</v>
      </c>
      <c r="AN17" s="6">
        <f t="shared" si="6"/>
        <v>-1.8326820956555967E-4</v>
      </c>
      <c r="AO17" s="6">
        <f t="shared" si="6"/>
        <v>-0.14679896693339262</v>
      </c>
      <c r="AP17" s="6">
        <f t="shared" si="6"/>
        <v>-0.10535660245082887</v>
      </c>
      <c r="AQ17" s="6">
        <f t="shared" si="6"/>
        <v>6.3457526141249665E-2</v>
      </c>
      <c r="AR17" s="6">
        <f t="shared" si="6"/>
        <v>0.14565358040988158</v>
      </c>
      <c r="AS17" s="6">
        <f t="shared" si="6"/>
        <v>4.4348978686026358E-2</v>
      </c>
      <c r="AT17" s="6">
        <f t="shared" si="6"/>
        <v>-0.10680178343225893</v>
      </c>
      <c r="AU17" s="6">
        <f t="shared" si="6"/>
        <v>-0.11903390125428959</v>
      </c>
      <c r="AV17" s="6">
        <f t="shared" si="6"/>
        <v>1.6384797063393138E-2</v>
      </c>
      <c r="AW17" s="6">
        <f t="shared" si="6"/>
        <v>0.12550665061220415</v>
      </c>
      <c r="AX17" s="6">
        <f t="shared" si="6"/>
        <v>7.45223311643744E-2</v>
      </c>
      <c r="AY17" s="6">
        <f t="shared" si="6"/>
        <v>-6.6611315748443894E-2</v>
      </c>
      <c r="AZ17" s="4">
        <f t="shared" si="4"/>
        <v>19.481818206800487</v>
      </c>
      <c r="BA17" s="4">
        <v>-1.9416</v>
      </c>
      <c r="BB17" s="5">
        <f t="shared" si="5"/>
        <v>20.080952209545611</v>
      </c>
      <c r="BC17" s="24">
        <v>20.036271658287511</v>
      </c>
    </row>
    <row r="18" spans="1:55" x14ac:dyDescent="0.3">
      <c r="A18" s="25">
        <v>-1.8415999999999999</v>
      </c>
      <c r="B18" s="6">
        <f t="shared" si="2"/>
        <v>14.062473611396543</v>
      </c>
      <c r="C18" s="6">
        <f t="shared" si="7"/>
        <v>-12.796971090100307</v>
      </c>
      <c r="D18" s="6">
        <f t="shared" si="7"/>
        <v>-7.3140330222482124</v>
      </c>
      <c r="E18" s="6">
        <f t="shared" si="7"/>
        <v>0.89886434504540103</v>
      </c>
      <c r="F18" s="6">
        <f t="shared" si="7"/>
        <v>3.2674540858060483</v>
      </c>
      <c r="G18" s="6">
        <f t="shared" si="7"/>
        <v>1.1149750001799099</v>
      </c>
      <c r="H18" s="6">
        <f t="shared" si="7"/>
        <v>-1.234597147213055</v>
      </c>
      <c r="I18" s="6">
        <f t="shared" si="7"/>
        <v>-1.3064171273491056</v>
      </c>
      <c r="J18" s="6">
        <f t="shared" si="7"/>
        <v>0.1184570723541164</v>
      </c>
      <c r="K18" s="6">
        <f t="shared" si="7"/>
        <v>0.96421995951872508</v>
      </c>
      <c r="L18" s="6">
        <f t="shared" si="7"/>
        <v>0.43304417872800088</v>
      </c>
      <c r="M18" s="6">
        <f t="shared" si="7"/>
        <v>-0.48889170787593911</v>
      </c>
      <c r="N18" s="6">
        <f t="shared" si="7"/>
        <v>-0.60098584588429516</v>
      </c>
      <c r="O18" s="6">
        <f t="shared" si="7"/>
        <v>6.0534245455308999E-2</v>
      </c>
      <c r="P18" s="6">
        <f t="shared" si="7"/>
        <v>0.52071647521501463</v>
      </c>
      <c r="Q18" s="6">
        <f t="shared" si="7"/>
        <v>0.23431927124035257</v>
      </c>
      <c r="R18" s="6">
        <f t="shared" si="7"/>
        <v>-0.30932097717366774</v>
      </c>
      <c r="S18" s="6">
        <f t="shared" si="7"/>
        <v>-0.36821547450467729</v>
      </c>
      <c r="T18" s="6">
        <f t="shared" si="7"/>
        <v>6.5738645190048184E-2</v>
      </c>
      <c r="U18" s="6">
        <f t="shared" si="7"/>
        <v>0.35626377857182789</v>
      </c>
      <c r="V18" s="6">
        <f t="shared" si="7"/>
        <v>0.13599514927514617</v>
      </c>
      <c r="W18" s="6">
        <f t="shared" si="7"/>
        <v>-0.24158816001162575</v>
      </c>
      <c r="X18" s="6">
        <f t="shared" si="7"/>
        <v>-0.25232835845575891</v>
      </c>
      <c r="Y18" s="6">
        <f t="shared" si="7"/>
        <v>8.0141978312111742E-2</v>
      </c>
      <c r="Z18" s="6">
        <f t="shared" si="3"/>
        <v>0.27116029421050369</v>
      </c>
      <c r="AA18" s="6">
        <f t="shared" si="6"/>
        <v>7.3829828227786581E-2</v>
      </c>
      <c r="AB18" s="6">
        <f t="shared" si="6"/>
        <v>-0.20737955045022158</v>
      </c>
      <c r="AC18" s="6">
        <f t="shared" si="6"/>
        <v>-0.17945243451121937</v>
      </c>
      <c r="AD18" s="6">
        <f t="shared" si="6"/>
        <v>9.3956256393954232E-2</v>
      </c>
      <c r="AE18" s="6">
        <f t="shared" si="6"/>
        <v>0.21614267574188795</v>
      </c>
      <c r="AF18" s="6">
        <f t="shared" si="6"/>
        <v>2.9278566988227811E-2</v>
      </c>
      <c r="AG18" s="6">
        <f t="shared" si="6"/>
        <v>-0.18495110611930776</v>
      </c>
      <c r="AH18" s="6">
        <f t="shared" si="6"/>
        <v>-0.12658138796908408</v>
      </c>
      <c r="AI18" s="6">
        <f t="shared" si="6"/>
        <v>0.10473054830622644</v>
      </c>
      <c r="AJ18" s="6">
        <f t="shared" si="6"/>
        <v>0.17462001465004243</v>
      </c>
      <c r="AK18" s="6">
        <f t="shared" si="6"/>
        <v>-4.6389892025557045E-3</v>
      </c>
      <c r="AL18" s="6">
        <f t="shared" si="6"/>
        <v>-0.16660905440843171</v>
      </c>
      <c r="AM18" s="6">
        <f t="shared" si="6"/>
        <v>-8.4830374487546295E-2</v>
      </c>
      <c r="AN18" s="6">
        <f t="shared" si="6"/>
        <v>0.11179970283294874</v>
      </c>
      <c r="AO18" s="6">
        <f t="shared" si="6"/>
        <v>0.13997540246568091</v>
      </c>
      <c r="AP18" s="6">
        <f t="shared" si="6"/>
        <v>-3.0999324963604365E-2</v>
      </c>
      <c r="AQ18" s="6">
        <f t="shared" si="6"/>
        <v>-0.1492836622092604</v>
      </c>
      <c r="AR18" s="6">
        <f t="shared" si="6"/>
        <v>-5.0321881837700207E-2</v>
      </c>
      <c r="AS18" s="6">
        <f t="shared" si="6"/>
        <v>0.11506687782624897</v>
      </c>
      <c r="AT18" s="6">
        <f t="shared" si="6"/>
        <v>0.1093461332244348</v>
      </c>
      <c r="AU18" s="6">
        <f t="shared" si="6"/>
        <v>-5.1321790998019347E-2</v>
      </c>
      <c r="AV18" s="6">
        <f t="shared" si="6"/>
        <v>-0.13174281263657531</v>
      </c>
      <c r="AW18" s="6">
        <f t="shared" si="6"/>
        <v>-2.1249368342178828E-2</v>
      </c>
      <c r="AX18" s="6">
        <f t="shared" si="6"/>
        <v>0.11467162820036675</v>
      </c>
      <c r="AY18" s="6">
        <f t="shared" si="6"/>
        <v>8.1494307065980764E-2</v>
      </c>
      <c r="AZ18" s="4">
        <f t="shared" si="4"/>
        <v>19.481818206800487</v>
      </c>
      <c r="BA18" s="4">
        <v>-1.8415999999999999</v>
      </c>
      <c r="BB18" s="5">
        <f t="shared" si="5"/>
        <v>17.128377590270983</v>
      </c>
      <c r="BC18" s="24">
        <v>17.027008218569112</v>
      </c>
    </row>
    <row r="19" spans="1:55" x14ac:dyDescent="0.3">
      <c r="A19" s="25">
        <v>-1.7416</v>
      </c>
      <c r="B19" s="6">
        <f t="shared" si="2"/>
        <v>11.174559833962263</v>
      </c>
      <c r="C19" s="6">
        <f t="shared" si="7"/>
        <v>-14.766968125698828</v>
      </c>
      <c r="D19" s="6">
        <f t="shared" si="7"/>
        <v>-5.753811347143075</v>
      </c>
      <c r="E19" s="6">
        <f t="shared" si="7"/>
        <v>2.7348233946941507</v>
      </c>
      <c r="F19" s="6">
        <f t="shared" si="7"/>
        <v>3.1115547983151131</v>
      </c>
      <c r="G19" s="6">
        <f t="shared" si="7"/>
        <v>-0.26499152958644212</v>
      </c>
      <c r="H19" s="6">
        <f t="shared" si="7"/>
        <v>-1.79476855440699</v>
      </c>
      <c r="I19" s="6">
        <f t="shared" si="7"/>
        <v>-0.48639431727438365</v>
      </c>
      <c r="J19" s="6">
        <f t="shared" si="7"/>
        <v>0.98928622944623978</v>
      </c>
      <c r="K19" s="6">
        <f t="shared" si="7"/>
        <v>0.70172253655394268</v>
      </c>
      <c r="L19" s="6">
        <f t="shared" si="7"/>
        <v>-0.45331650310677313</v>
      </c>
      <c r="M19" s="6">
        <f t="shared" si="7"/>
        <v>-0.69533484483003782</v>
      </c>
      <c r="N19" s="6">
        <f t="shared" si="7"/>
        <v>9.1502076562368861E-2</v>
      </c>
      <c r="O19" s="6">
        <f t="shared" si="7"/>
        <v>0.58598450031043525</v>
      </c>
      <c r="P19" s="6">
        <f t="shared" si="7"/>
        <v>0.14302924127392472</v>
      </c>
      <c r="Q19" s="6">
        <f t="shared" si="7"/>
        <v>-0.43138939335168613</v>
      </c>
      <c r="R19" s="6">
        <f t="shared" si="7"/>
        <v>-0.27874091250436728</v>
      </c>
      <c r="S19" s="6">
        <f t="shared" si="7"/>
        <v>0.26504759721863513</v>
      </c>
      <c r="T19" s="6">
        <f t="shared" si="7"/>
        <v>0.33669102281460694</v>
      </c>
      <c r="U19" s="6">
        <f t="shared" si="7"/>
        <v>-0.10839998729107291</v>
      </c>
      <c r="V19" s="6">
        <f t="shared" si="7"/>
        <v>-0.33486279799815555</v>
      </c>
      <c r="W19" s="6">
        <f t="shared" si="7"/>
        <v>-2.4620869855544153E-2</v>
      </c>
      <c r="X19" s="6">
        <f t="shared" si="7"/>
        <v>0.2897634428897648</v>
      </c>
      <c r="Y19" s="6">
        <f t="shared" si="7"/>
        <v>0.12567472712889355</v>
      </c>
      <c r="Z19" s="6">
        <f t="shared" si="3"/>
        <v>-0.21678716540841519</v>
      </c>
      <c r="AA19" s="6">
        <f t="shared" si="6"/>
        <v>-0.1910223306210162</v>
      </c>
      <c r="AB19" s="6">
        <f t="shared" si="6"/>
        <v>0.13000769997158554</v>
      </c>
      <c r="AC19" s="6">
        <f t="shared" si="6"/>
        <v>0.22080915096595821</v>
      </c>
      <c r="AD19" s="6">
        <f t="shared" si="6"/>
        <v>-4.1742897619218976E-2</v>
      </c>
      <c r="AE19" s="6">
        <f t="shared" si="6"/>
        <v>-0.21837131810775276</v>
      </c>
      <c r="AF19" s="6">
        <f t="shared" si="6"/>
        <v>-3.7910181087207659E-2</v>
      </c>
      <c r="AG19" s="6">
        <f t="shared" si="6"/>
        <v>0.18948030576972189</v>
      </c>
      <c r="AH19" s="6">
        <f t="shared" si="6"/>
        <v>0.10144751930735069</v>
      </c>
      <c r="AI19" s="6">
        <f t="shared" si="6"/>
        <v>-0.14152321448630775</v>
      </c>
      <c r="AJ19" s="6">
        <f t="shared" si="6"/>
        <v>-0.14416455319688504</v>
      </c>
      <c r="AK19" s="6">
        <f t="shared" si="6"/>
        <v>8.2655305201917786E-2</v>
      </c>
      <c r="AL19" s="6">
        <f t="shared" si="6"/>
        <v>0.16416049852333947</v>
      </c>
      <c r="AM19" s="6">
        <f t="shared" si="6"/>
        <v>-2.097940093309391E-2</v>
      </c>
      <c r="AN19" s="6">
        <f t="shared" si="6"/>
        <v>-0.1621347635632627</v>
      </c>
      <c r="AO19" s="6">
        <f t="shared" si="6"/>
        <v>-3.6189090865625391E-2</v>
      </c>
      <c r="AP19" s="6">
        <f t="shared" si="6"/>
        <v>0.14099491108172185</v>
      </c>
      <c r="AQ19" s="6">
        <f t="shared" si="6"/>
        <v>8.2918335553668704E-2</v>
      </c>
      <c r="AR19" s="6">
        <f t="shared" si="6"/>
        <v>-0.10531564325376815</v>
      </c>
      <c r="AS19" s="6">
        <f t="shared" si="6"/>
        <v>-0.11507664628962085</v>
      </c>
      <c r="AT19" s="6">
        <f t="shared" si="6"/>
        <v>6.0702372296840376E-2</v>
      </c>
      <c r="AU19" s="6">
        <f t="shared" si="6"/>
        <v>0.13054563834881136</v>
      </c>
      <c r="AV19" s="6">
        <f t="shared" si="6"/>
        <v>-1.3120562324575483E-2</v>
      </c>
      <c r="AW19" s="6">
        <f t="shared" si="6"/>
        <v>-0.12922524686954606</v>
      </c>
      <c r="AX19" s="6">
        <f t="shared" si="6"/>
        <v>-3.1746977001984839E-2</v>
      </c>
      <c r="AY19" s="6">
        <f t="shared" si="6"/>
        <v>0.11284502223873859</v>
      </c>
      <c r="AZ19" s="4">
        <f t="shared" si="4"/>
        <v>19.481818206800487</v>
      </c>
      <c r="BA19" s="4">
        <v>-1.7416</v>
      </c>
      <c r="BB19" s="5">
        <f t="shared" si="5"/>
        <v>14.449115192554846</v>
      </c>
      <c r="BC19" s="24">
        <v>14.424923646050715</v>
      </c>
    </row>
    <row r="20" spans="1:55" x14ac:dyDescent="0.3">
      <c r="A20" s="25">
        <v>-1.6415999999999999</v>
      </c>
      <c r="B20" s="6">
        <f t="shared" si="2"/>
        <v>8.1749935484854017</v>
      </c>
      <c r="C20" s="6">
        <f t="shared" si="7"/>
        <v>-16.148252741988383</v>
      </c>
      <c r="D20" s="6">
        <f t="shared" si="7"/>
        <v>-3.6796188406932586</v>
      </c>
      <c r="E20" s="6">
        <f t="shared" si="7"/>
        <v>4.139013963633281</v>
      </c>
      <c r="F20" s="6">
        <f t="shared" si="7"/>
        <v>2.1938383769292695</v>
      </c>
      <c r="G20" s="6">
        <f t="shared" si="7"/>
        <v>-1.5523888942140782</v>
      </c>
      <c r="H20" s="6">
        <f t="shared" si="7"/>
        <v>-1.5108322664310685</v>
      </c>
      <c r="I20" s="6">
        <f t="shared" si="7"/>
        <v>0.62866875888231344</v>
      </c>
      <c r="J20" s="6">
        <f t="shared" si="7"/>
        <v>1.1114432910392478</v>
      </c>
      <c r="K20" s="6">
        <f t="shared" si="7"/>
        <v>-0.20593535035925481</v>
      </c>
      <c r="L20" s="6">
        <f t="shared" si="7"/>
        <v>-0.84428939390287827</v>
      </c>
      <c r="M20" s="6">
        <f t="shared" si="7"/>
        <v>-1.5028238088056645E-2</v>
      </c>
      <c r="N20" s="6">
        <f t="shared" si="7"/>
        <v>0.64993924247859702</v>
      </c>
      <c r="O20" s="6">
        <f t="shared" si="7"/>
        <v>0.13866197714787065</v>
      </c>
      <c r="P20" s="6">
        <f t="shared" si="7"/>
        <v>-0.50048149864627056</v>
      </c>
      <c r="Q20" s="6">
        <f t="shared" si="7"/>
        <v>-0.20912654281692886</v>
      </c>
      <c r="R20" s="6">
        <f t="shared" si="7"/>
        <v>0.38114944099586401</v>
      </c>
      <c r="S20" s="6">
        <f t="shared" si="7"/>
        <v>0.24777673594178984</v>
      </c>
      <c r="T20" s="6">
        <f t="shared" si="7"/>
        <v>-0.28343603505517667</v>
      </c>
      <c r="U20" s="6">
        <f t="shared" si="7"/>
        <v>-0.26604315498596703</v>
      </c>
      <c r="V20" s="6">
        <f t="shared" si="7"/>
        <v>0.20211320901441016</v>
      </c>
      <c r="W20" s="6">
        <f t="shared" si="7"/>
        <v>0.27056697884719677</v>
      </c>
      <c r="X20" s="6">
        <f t="shared" si="7"/>
        <v>-0.13379650922611386</v>
      </c>
      <c r="Y20" s="6">
        <f t="shared" si="7"/>
        <v>-0.26548548628652474</v>
      </c>
      <c r="Z20" s="6">
        <f t="shared" si="3"/>
        <v>7.6195012788434144E-2</v>
      </c>
      <c r="AA20" s="6">
        <f t="shared" si="6"/>
        <v>0.25353994527516066</v>
      </c>
      <c r="AB20" s="6">
        <f t="shared" si="6"/>
        <v>-2.7693129133825239E-2</v>
      </c>
      <c r="AC20" s="6">
        <f t="shared" si="6"/>
        <v>-0.23665019561718864</v>
      </c>
      <c r="AD20" s="6">
        <f t="shared" si="6"/>
        <v>-1.2895041833186113E-2</v>
      </c>
      <c r="AE20" s="6">
        <f t="shared" si="6"/>
        <v>0.2162292570569605</v>
      </c>
      <c r="AF20" s="6">
        <f t="shared" si="6"/>
        <v>4.6476221966679623E-2</v>
      </c>
      <c r="AG20" s="6">
        <f t="shared" si="6"/>
        <v>-0.19336329261250429</v>
      </c>
      <c r="AH20" s="6">
        <f t="shared" si="6"/>
        <v>-7.3773358077810297E-2</v>
      </c>
      <c r="AI20" s="6">
        <f t="shared" si="6"/>
        <v>0.1689182276405691</v>
      </c>
      <c r="AJ20" s="6">
        <f t="shared" si="6"/>
        <v>9.5387705172981951E-2</v>
      </c>
      <c r="AK20" s="6">
        <f t="shared" si="6"/>
        <v>-0.14360469198641895</v>
      </c>
      <c r="AL20" s="6">
        <f t="shared" si="6"/>
        <v>-0.11183999359804905</v>
      </c>
      <c r="AM20" s="6">
        <f t="shared" si="6"/>
        <v>0.11801843199431616</v>
      </c>
      <c r="AN20" s="6">
        <f t="shared" si="6"/>
        <v>0.12359802217589994</v>
      </c>
      <c r="AO20" s="6">
        <f t="shared" si="6"/>
        <v>-9.2665865687341614E-2</v>
      </c>
      <c r="AP20" s="6">
        <f t="shared" si="6"/>
        <v>-0.13109517749460117</v>
      </c>
      <c r="AQ20" s="6">
        <f t="shared" si="6"/>
        <v>6.7980439623770109E-2</v>
      </c>
      <c r="AR20" s="6">
        <f t="shared" si="6"/>
        <v>0.13474272708406057</v>
      </c>
      <c r="AS20" s="6">
        <f t="shared" si="6"/>
        <v>-4.4333205882887743E-2</v>
      </c>
      <c r="AT20" s="6">
        <f t="shared" si="6"/>
        <v>-0.13493774341574938</v>
      </c>
      <c r="AU20" s="6">
        <f t="shared" si="6"/>
        <v>2.2039744555681876E-2</v>
      </c>
      <c r="AV20" s="6">
        <f t="shared" si="6"/>
        <v>0.13206790509874133</v>
      </c>
      <c r="AW20" s="6">
        <f t="shared" si="6"/>
        <v>-1.3647871294158939E-3</v>
      </c>
      <c r="AX20" s="6">
        <f t="shared" si="6"/>
        <v>-0.12651403600565472</v>
      </c>
      <c r="AY20" s="6">
        <f t="shared" si="6"/>
        <v>-1.7474575812206853E-2</v>
      </c>
      <c r="AZ20" s="4">
        <f t="shared" si="4"/>
        <v>19.481818206800487</v>
      </c>
      <c r="BA20" s="4">
        <v>-1.6415999999999999</v>
      </c>
      <c r="BB20" s="5">
        <f t="shared" si="5"/>
        <v>12.112257323648185</v>
      </c>
      <c r="BC20" s="24">
        <v>12.187019540732312</v>
      </c>
    </row>
    <row r="21" spans="1:55" x14ac:dyDescent="0.3">
      <c r="A21" s="25">
        <v>-1.5416000000000001</v>
      </c>
      <c r="B21" s="6">
        <f t="shared" si="2"/>
        <v>5.0937454297656695</v>
      </c>
      <c r="C21" s="6">
        <f t="shared" si="7"/>
        <v>-16.885757480213172</v>
      </c>
      <c r="D21" s="6">
        <f t="shared" si="7"/>
        <v>-1.2767369420335986</v>
      </c>
      <c r="E21" s="6">
        <f t="shared" si="7"/>
        <v>4.8897452363776281</v>
      </c>
      <c r="F21" s="6">
        <f t="shared" si="7"/>
        <v>0.73899380808289794</v>
      </c>
      <c r="G21" s="6">
        <f t="shared" si="7"/>
        <v>-2.2974921555838166</v>
      </c>
      <c r="H21" s="6">
        <f t="shared" si="7"/>
        <v>-0.51632795614724958</v>
      </c>
      <c r="I21" s="6">
        <f t="shared" si="7"/>
        <v>1.3623898018149083</v>
      </c>
      <c r="J21" s="6">
        <f t="shared" si="7"/>
        <v>0.39248222830886109</v>
      </c>
      <c r="K21" s="6">
        <f t="shared" si="7"/>
        <v>-0.9242572258716798</v>
      </c>
      <c r="L21" s="6">
        <f t="shared" si="7"/>
        <v>-0.3126162857634191</v>
      </c>
      <c r="M21" s="6">
        <f t="shared" si="7"/>
        <v>0.68444364761537779</v>
      </c>
      <c r="N21" s="6">
        <f t="shared" si="7"/>
        <v>0.25621389551798524</v>
      </c>
      <c r="O21" s="6">
        <f t="shared" si="7"/>
        <v>-0.53884854014099093</v>
      </c>
      <c r="P21" s="6">
        <f t="shared" si="7"/>
        <v>-0.21383456267531542</v>
      </c>
      <c r="Q21" s="6">
        <f t="shared" si="7"/>
        <v>0.44360218365323473</v>
      </c>
      <c r="R21" s="6">
        <f t="shared" si="7"/>
        <v>0.18052289855209974</v>
      </c>
      <c r="S21" s="6">
        <f t="shared" si="7"/>
        <v>-0.37763838406301603</v>
      </c>
      <c r="T21" s="6">
        <f t="shared" si="7"/>
        <v>-0.15342719680161337</v>
      </c>
      <c r="U21" s="6">
        <f t="shared" si="7"/>
        <v>0.32982602195593547</v>
      </c>
      <c r="V21" s="6">
        <f t="shared" si="7"/>
        <v>0.13079066547995372</v>
      </c>
      <c r="W21" s="6">
        <f t="shared" si="7"/>
        <v>-0.29383706883241473</v>
      </c>
      <c r="X21" s="6">
        <f t="shared" si="7"/>
        <v>-0.11147263123315704</v>
      </c>
      <c r="Y21" s="6">
        <f t="shared" si="7"/>
        <v>0.26585993118129675</v>
      </c>
      <c r="Z21" s="6">
        <f t="shared" si="3"/>
        <v>9.4700869344473235E-2</v>
      </c>
      <c r="AA21" s="6">
        <f t="shared" si="6"/>
        <v>-0.24348872465111054</v>
      </c>
      <c r="AB21" s="6">
        <f t="shared" si="6"/>
        <v>-7.9934526821242205E-2</v>
      </c>
      <c r="AC21" s="6">
        <f t="shared" si="6"/>
        <v>0.22514505150228858</v>
      </c>
      <c r="AD21" s="6">
        <f t="shared" si="6"/>
        <v>6.6783989934974169E-2</v>
      </c>
      <c r="AE21" s="6">
        <f t="shared" si="6"/>
        <v>-0.20975936595600642</v>
      </c>
      <c r="AF21" s="6">
        <f t="shared" si="6"/>
        <v>-5.4961872950417809E-2</v>
      </c>
      <c r="AG21" s="6">
        <f t="shared" si="6"/>
        <v>0.1965868239213481</v>
      </c>
      <c r="AH21" s="6">
        <f t="shared" si="6"/>
        <v>4.4251878012812725E-2</v>
      </c>
      <c r="AI21" s="6">
        <f t="shared" si="6"/>
        <v>-0.1850964598669487</v>
      </c>
      <c r="AJ21" s="6">
        <f t="shared" si="6"/>
        <v>-3.4488355592240734E-2</v>
      </c>
      <c r="AK21" s="6">
        <f t="shared" si="6"/>
        <v>0.17490212712586986</v>
      </c>
      <c r="AL21" s="6">
        <f t="shared" si="6"/>
        <v>2.5542505710655888E-2</v>
      </c>
      <c r="AM21" s="6">
        <f t="shared" si="6"/>
        <v>-0.16571813730344823</v>
      </c>
      <c r="AN21" s="6">
        <f t="shared" si="6"/>
        <v>-1.7312830502199693E-2</v>
      </c>
      <c r="AO21" s="6">
        <f t="shared" si="6"/>
        <v>0.15732999482229559</v>
      </c>
      <c r="AP21" s="6">
        <f t="shared" si="6"/>
        <v>9.7183835161305521E-3</v>
      </c>
      <c r="AQ21" s="6">
        <f t="shared" si="6"/>
        <v>-0.14957462788377102</v>
      </c>
      <c r="AR21" s="6">
        <f t="shared" si="6"/>
        <v>-2.6939036644122727E-3</v>
      </c>
      <c r="AS21" s="6">
        <f t="shared" si="6"/>
        <v>0.14232674908828447</v>
      </c>
      <c r="AT21" s="6">
        <f t="shared" si="6"/>
        <v>-3.8137533034237336E-3</v>
      </c>
      <c r="AU21" s="6">
        <f t="shared" si="6"/>
        <v>-0.13548926443865675</v>
      </c>
      <c r="AV21" s="6">
        <f t="shared" si="6"/>
        <v>9.848272663539763E-3</v>
      </c>
      <c r="AW21" s="6">
        <f t="shared" si="6"/>
        <v>0.12898641189667612</v>
      </c>
      <c r="AX21" s="6">
        <f t="shared" si="6"/>
        <v>-1.5445888239270147E-2</v>
      </c>
      <c r="AY21" s="6">
        <f t="shared" si="6"/>
        <v>-0.12275877496860543</v>
      </c>
      <c r="AZ21" s="4">
        <f t="shared" si="4"/>
        <v>19.481818206800487</v>
      </c>
      <c r="BA21" s="4">
        <v>-1.5416000000000001</v>
      </c>
      <c r="BB21" s="5">
        <f t="shared" si="5"/>
        <v>10.203774097144484</v>
      </c>
      <c r="BC21" s="24">
        <v>10.272697502613916</v>
      </c>
    </row>
    <row r="22" spans="1:55" x14ac:dyDescent="0.3">
      <c r="A22" s="25">
        <v>-1.4416</v>
      </c>
      <c r="B22" s="6">
        <f t="shared" si="2"/>
        <v>1.9616022904800889</v>
      </c>
      <c r="C22" s="6">
        <f t="shared" si="7"/>
        <v>-16.950080353790963</v>
      </c>
      <c r="D22" s="6">
        <f t="shared" si="7"/>
        <v>1.2401920652145915</v>
      </c>
      <c r="E22" s="6">
        <f t="shared" si="7"/>
        <v>4.8684932520444217</v>
      </c>
      <c r="F22" s="6">
        <f t="shared" si="7"/>
        <v>-0.89678221829224591</v>
      </c>
      <c r="G22" s="6">
        <f t="shared" si="7"/>
        <v>-2.2400153077437879</v>
      </c>
      <c r="H22" s="6">
        <f t="shared" si="7"/>
        <v>0.72101345975948439</v>
      </c>
      <c r="I22" s="6">
        <f t="shared" si="7"/>
        <v>1.2697034724588909</v>
      </c>
      <c r="J22" s="6">
        <f t="shared" si="7"/>
        <v>-0.6235015600675089</v>
      </c>
      <c r="K22" s="6">
        <f t="shared" si="7"/>
        <v>-0.79282127034826266</v>
      </c>
      <c r="L22" s="6">
        <f t="shared" si="7"/>
        <v>0.56068632446936428</v>
      </c>
      <c r="M22" s="6">
        <f t="shared" si="7"/>
        <v>0.51105516451952215</v>
      </c>
      <c r="N22" s="6">
        <f t="shared" si="7"/>
        <v>-0.51286540862179009</v>
      </c>
      <c r="O22" s="6">
        <f t="shared" si="7"/>
        <v>-0.32183507079533225</v>
      </c>
      <c r="P22" s="6">
        <f t="shared" si="7"/>
        <v>0.47022938147929316</v>
      </c>
      <c r="Q22" s="6">
        <f t="shared" si="7"/>
        <v>0.18322059910796312</v>
      </c>
      <c r="R22" s="6">
        <f t="shared" si="7"/>
        <v>-0.42766820414127887</v>
      </c>
      <c r="S22" s="6">
        <f t="shared" si="7"/>
        <v>-7.617627215052955E-2</v>
      </c>
      <c r="T22" s="6">
        <f t="shared" si="7"/>
        <v>0.38263885905332651</v>
      </c>
      <c r="U22" s="6">
        <f t="shared" si="7"/>
        <v>-8.4689563098147291E-3</v>
      </c>
      <c r="V22" s="6">
        <f t="shared" si="7"/>
        <v>-0.33417152498556374</v>
      </c>
      <c r="W22" s="6">
        <f t="shared" si="7"/>
        <v>7.5279907750627387E-2</v>
      </c>
      <c r="X22" s="6">
        <f t="shared" si="7"/>
        <v>0.28233959166535449</v>
      </c>
      <c r="Y22" s="6">
        <f t="shared" si="7"/>
        <v>-0.12660139864810827</v>
      </c>
      <c r="Z22" s="6">
        <f t="shared" si="3"/>
        <v>-0.22793300651257226</v>
      </c>
      <c r="AA22" s="6">
        <f t="shared" si="6"/>
        <v>0.16374555417620928</v>
      </c>
      <c r="AB22" s="6">
        <f t="shared" si="6"/>
        <v>0.17222628690262504</v>
      </c>
      <c r="AC22" s="6">
        <f t="shared" si="6"/>
        <v>-0.1876231992157148</v>
      </c>
      <c r="AD22" s="6">
        <f t="shared" si="6"/>
        <v>-0.11679387882407494</v>
      </c>
      <c r="AE22" s="6">
        <f t="shared" si="6"/>
        <v>0.19909113971926692</v>
      </c>
      <c r="AF22" s="6">
        <f t="shared" si="6"/>
        <v>6.3352456412553604E-2</v>
      </c>
      <c r="AG22" s="6">
        <f t="shared" si="6"/>
        <v>-0.19913990600902573</v>
      </c>
      <c r="AH22" s="6">
        <f t="shared" si="6"/>
        <v>-1.3622310558442E-2</v>
      </c>
      <c r="AI22" s="6">
        <f t="shared" si="6"/>
        <v>0.18898361806387654</v>
      </c>
      <c r="AJ22" s="6">
        <f t="shared" si="6"/>
        <v>-3.0794002716949542E-2</v>
      </c>
      <c r="AK22" s="6">
        <f t="shared" si="6"/>
        <v>-0.17008521708331867</v>
      </c>
      <c r="AL22" s="6">
        <f t="shared" si="6"/>
        <v>6.8514793791708967E-2</v>
      </c>
      <c r="AM22" s="6">
        <f t="shared" si="6"/>
        <v>0.14413695977693899</v>
      </c>
      <c r="AN22" s="6">
        <f t="shared" si="6"/>
        <v>-9.8462136298524225E-2</v>
      </c>
      <c r="AO22" s="6">
        <f t="shared" si="6"/>
        <v>-0.11300962928485558</v>
      </c>
      <c r="AP22" s="6">
        <f t="shared" si="6"/>
        <v>0.11992245836126972</v>
      </c>
      <c r="AQ22" s="6">
        <f t="shared" si="6"/>
        <v>7.8680720212284311E-2</v>
      </c>
      <c r="AR22" s="6">
        <f t="shared" si="6"/>
        <v>-0.13258329836734292</v>
      </c>
      <c r="AS22" s="6">
        <f t="shared" si="6"/>
        <v>-4.3150170661113457E-2</v>
      </c>
      <c r="AT22" s="6">
        <f t="shared" si="6"/>
        <v>0.13654558976860334</v>
      </c>
      <c r="AU22" s="6">
        <f t="shared" si="6"/>
        <v>8.3511822030520877E-3</v>
      </c>
      <c r="AV22" s="6">
        <f t="shared" si="6"/>
        <v>-0.13231191897018019</v>
      </c>
      <c r="AW22" s="6">
        <f t="shared" si="6"/>
        <v>2.3937146966336927E-2</v>
      </c>
      <c r="AX22" s="6">
        <f t="shared" si="6"/>
        <v>0.1207523375789693</v>
      </c>
      <c r="AY22" s="6">
        <f t="shared" si="6"/>
        <v>-5.2169468972559169E-2</v>
      </c>
      <c r="AZ22" s="4">
        <f t="shared" si="4"/>
        <v>19.481818206800487</v>
      </c>
      <c r="BA22" s="4">
        <v>-1.4416</v>
      </c>
      <c r="BB22" s="5">
        <f t="shared" si="5"/>
        <v>8.6678471293672512</v>
      </c>
      <c r="BC22" s="24">
        <v>8.6437591316955142</v>
      </c>
    </row>
    <row r="23" spans="1:55" x14ac:dyDescent="0.3">
      <c r="A23" s="25">
        <v>-1.3415999999999999</v>
      </c>
      <c r="B23" s="6">
        <f t="shared" si="2"/>
        <v>-1.1901405304724619</v>
      </c>
      <c r="C23" s="6">
        <f t="shared" si="7"/>
        <v>-16.338657012734771</v>
      </c>
      <c r="D23" s="6">
        <f t="shared" si="7"/>
        <v>3.6463384088806752</v>
      </c>
      <c r="E23" s="6">
        <f t="shared" si="7"/>
        <v>4.0786132316711186</v>
      </c>
      <c r="F23" s="6">
        <f t="shared" si="7"/>
        <v>-2.3129946812561806</v>
      </c>
      <c r="G23" s="6">
        <f t="shared" si="7"/>
        <v>-1.400036667263806</v>
      </c>
      <c r="H23" s="6">
        <f t="shared" si="7"/>
        <v>1.619250979395253</v>
      </c>
      <c r="I23" s="6">
        <f t="shared" si="7"/>
        <v>0.40683205447209664</v>
      </c>
      <c r="J23" s="6">
        <f t="shared" si="7"/>
        <v>-1.1676317982494069</v>
      </c>
      <c r="K23" s="6">
        <f t="shared" si="7"/>
        <v>6.7530904850733486E-2</v>
      </c>
      <c r="L23" s="6">
        <f t="shared" si="7"/>
        <v>0.821266569994752</v>
      </c>
      <c r="M23" s="6">
        <f t="shared" si="7"/>
        <v>-0.31407404395737604</v>
      </c>
      <c r="N23" s="6">
        <f t="shared" si="7"/>
        <v>-0.53059568761478304</v>
      </c>
      <c r="O23" s="6">
        <f t="shared" si="7"/>
        <v>0.42944576520463262</v>
      </c>
      <c r="P23" s="6">
        <f t="shared" si="7"/>
        <v>0.28035998385087363</v>
      </c>
      <c r="Q23" s="6">
        <f t="shared" si="7"/>
        <v>-0.45430209159265211</v>
      </c>
      <c r="R23" s="6">
        <f t="shared" si="7"/>
        <v>-7.031751157438218E-2</v>
      </c>
      <c r="S23" s="6">
        <f t="shared" si="7"/>
        <v>0.41225320126003873</v>
      </c>
      <c r="T23" s="6">
        <f t="shared" si="7"/>
        <v>-9.3979105215378278E-2</v>
      </c>
      <c r="U23" s="6">
        <f t="shared" si="7"/>
        <v>-0.32277736320156419</v>
      </c>
      <c r="V23" s="6">
        <f t="shared" si="7"/>
        <v>0.20661971983435981</v>
      </c>
      <c r="W23" s="6">
        <f t="shared" si="7"/>
        <v>0.20523244919616673</v>
      </c>
      <c r="X23" s="6">
        <f t="shared" si="7"/>
        <v>-0.26475956833596948</v>
      </c>
      <c r="Y23" s="6">
        <f t="shared" si="7"/>
        <v>-7.914977969760377E-2</v>
      </c>
      <c r="Z23" s="6">
        <f t="shared" si="3"/>
        <v>0.27051327653545665</v>
      </c>
      <c r="AA23" s="6">
        <f t="shared" si="6"/>
        <v>-3.7134722924408448E-2</v>
      </c>
      <c r="AB23" s="6">
        <f t="shared" si="6"/>
        <v>-0.23147544940216047</v>
      </c>
      <c r="AC23" s="6">
        <f t="shared" si="6"/>
        <v>0.12842048835525793</v>
      </c>
      <c r="AD23" s="6">
        <f t="shared" si="6"/>
        <v>0.16001995063248212</v>
      </c>
      <c r="AE23" s="6">
        <f t="shared" si="6"/>
        <v>-0.18443810296740348</v>
      </c>
      <c r="AF23" s="6">
        <f t="shared" si="6"/>
        <v>-7.1633459165458477E-2</v>
      </c>
      <c r="AG23" s="6">
        <f t="shared" si="6"/>
        <v>0.2010138317207889</v>
      </c>
      <c r="AH23" s="6">
        <f t="shared" si="6"/>
        <v>-1.7348365821057928E-2</v>
      </c>
      <c r="AI23" s="6">
        <f t="shared" si="6"/>
        <v>-0.18032158087561703</v>
      </c>
      <c r="AJ23" s="6">
        <f t="shared" si="6"/>
        <v>9.2162855137718561E-2</v>
      </c>
      <c r="AK23" s="6">
        <f t="shared" si="6"/>
        <v>0.13014857270110258</v>
      </c>
      <c r="AL23" s="6">
        <f t="shared" si="6"/>
        <v>-0.14175730328541658</v>
      </c>
      <c r="AM23" s="6">
        <f t="shared" si="6"/>
        <v>-6.2297225250682493E-2</v>
      </c>
      <c r="AN23" s="6">
        <f t="shared" si="6"/>
        <v>0.16026652146151082</v>
      </c>
      <c r="AO23" s="6">
        <f t="shared" si="6"/>
        <v>-9.5939482658817243E-3</v>
      </c>
      <c r="AP23" s="6">
        <f t="shared" si="6"/>
        <v>-0.1475869851025233</v>
      </c>
      <c r="AQ23" s="6">
        <f t="shared" si="6"/>
        <v>7.2426478853866869E-2</v>
      </c>
      <c r="AR23" s="6">
        <f t="shared" si="6"/>
        <v>0.10897245609893695</v>
      </c>
      <c r="AS23" s="6">
        <f t="shared" si="6"/>
        <v>-0.11580381750960772</v>
      </c>
      <c r="AT23" s="6">
        <f t="shared" si="6"/>
        <v>-5.3752720204615426E-2</v>
      </c>
      <c r="AU23" s="6">
        <f t="shared" si="6"/>
        <v>0.13361605206472205</v>
      </c>
      <c r="AV23" s="6">
        <f t="shared" si="6"/>
        <v>-6.5699369910397903E-3</v>
      </c>
      <c r="AW23" s="6">
        <f t="shared" si="6"/>
        <v>-0.12479745984468585</v>
      </c>
      <c r="AX23" s="6">
        <f t="shared" si="6"/>
        <v>6.0489497429608005E-2</v>
      </c>
      <c r="AY23" s="6">
        <f t="shared" si="6"/>
        <v>9.3161763802181219E-2</v>
      </c>
      <c r="AZ23" s="4">
        <f t="shared" si="4"/>
        <v>19.481818206800487</v>
      </c>
      <c r="BA23" s="4">
        <v>-1.3415999999999999</v>
      </c>
      <c r="BB23" s="5">
        <f t="shared" si="5"/>
        <v>7.3428463014279277</v>
      </c>
      <c r="BC23" s="24">
        <v>7.2644060279771123</v>
      </c>
    </row>
    <row r="24" spans="1:55" x14ac:dyDescent="0.3">
      <c r="A24" s="25">
        <v>-1.2416</v>
      </c>
      <c r="B24" s="6">
        <f t="shared" si="2"/>
        <v>-4.3299918606526777</v>
      </c>
      <c r="C24" s="6">
        <f t="shared" si="7"/>
        <v>-15.075862976194578</v>
      </c>
      <c r="D24" s="6">
        <f t="shared" si="7"/>
        <v>5.7267682021932362</v>
      </c>
      <c r="E24" s="6">
        <f t="shared" si="7"/>
        <v>2.6448098625882199</v>
      </c>
      <c r="F24" s="6">
        <f t="shared" si="7"/>
        <v>-3.1629053777389609</v>
      </c>
      <c r="G24" s="6">
        <f t="shared" si="7"/>
        <v>-7.0984939600752472E-2</v>
      </c>
      <c r="H24" s="6">
        <f t="shared" si="7"/>
        <v>1.7559294619269443</v>
      </c>
      <c r="I24" s="6">
        <f t="shared" si="7"/>
        <v>-0.70281822860248655</v>
      </c>
      <c r="J24" s="6">
        <f t="shared" si="7"/>
        <v>-0.82812157005575726</v>
      </c>
      <c r="K24" s="6">
        <f t="shared" si="7"/>
        <v>0.86579547756468722</v>
      </c>
      <c r="L24" s="6">
        <f t="shared" si="7"/>
        <v>0.18436033714285049</v>
      </c>
      <c r="M24" s="6">
        <f t="shared" si="7"/>
        <v>-0.73866949513512825</v>
      </c>
      <c r="N24" s="6">
        <f t="shared" si="7"/>
        <v>0.228997958801367</v>
      </c>
      <c r="O24" s="6">
        <f t="shared" si="7"/>
        <v>0.46781841028020987</v>
      </c>
      <c r="P24" s="6">
        <f t="shared" si="7"/>
        <v>-0.43056562004486565</v>
      </c>
      <c r="Q24" s="6">
        <f t="shared" si="7"/>
        <v>-0.15668979099799998</v>
      </c>
      <c r="R24" s="6">
        <f t="shared" si="7"/>
        <v>0.44578825257912119</v>
      </c>
      <c r="S24" s="6">
        <f t="shared" si="7"/>
        <v>-0.11115330958989282</v>
      </c>
      <c r="T24" s="6">
        <f t="shared" si="7"/>
        <v>-0.32187393061472913</v>
      </c>
      <c r="U24" s="6">
        <f t="shared" si="7"/>
        <v>0.27711451352053312</v>
      </c>
      <c r="V24" s="6">
        <f t="shared" si="7"/>
        <v>0.12554920360178345</v>
      </c>
      <c r="W24" s="6">
        <f t="shared" si="7"/>
        <v>-0.31683895904861842</v>
      </c>
      <c r="X24" s="6">
        <f t="shared" si="7"/>
        <v>7.0466311907950649E-2</v>
      </c>
      <c r="Y24" s="6">
        <f t="shared" si="7"/>
        <v>0.24333049891908226</v>
      </c>
      <c r="Z24" s="6">
        <f t="shared" si="3"/>
        <v>-0.20550696232155422</v>
      </c>
      <c r="AA24" s="6">
        <f t="shared" si="6"/>
        <v>-0.10010490130941395</v>
      </c>
      <c r="AB24" s="6">
        <f t="shared" si="6"/>
        <v>0.24631472382812156</v>
      </c>
      <c r="AC24" s="6">
        <f t="shared" si="6"/>
        <v>-5.4378107040090537E-2</v>
      </c>
      <c r="AD24" s="6">
        <f t="shared" si="6"/>
        <v>-0.19395147648281078</v>
      </c>
      <c r="AE24" s="6">
        <f t="shared" si="6"/>
        <v>0.16609353633063167</v>
      </c>
      <c r="AF24" s="6">
        <f t="shared" si="6"/>
        <v>7.9790557563198097E-2</v>
      </c>
      <c r="AG24" s="6">
        <f t="shared" si="6"/>
        <v>-0.20220221012967243</v>
      </c>
      <c r="AH24" s="6">
        <f t="shared" si="6"/>
        <v>4.7884631136986822E-2</v>
      </c>
      <c r="AI24" s="6">
        <f t="shared" si="6"/>
        <v>0.15968553888335901</v>
      </c>
      <c r="AJ24" s="6">
        <f t="shared" si="6"/>
        <v>-0.14181904131010728</v>
      </c>
      <c r="AK24" s="6">
        <f t="shared" si="6"/>
        <v>-6.333843880386307E-2</v>
      </c>
      <c r="AL24" s="6">
        <f t="shared" si="6"/>
        <v>0.17193395303137807</v>
      </c>
      <c r="AM24" s="6">
        <f t="shared" si="6"/>
        <v>-4.5586772346638299E-2</v>
      </c>
      <c r="AN24" s="6">
        <f t="shared" si="6"/>
        <v>-0.13422315412286734</v>
      </c>
      <c r="AO24" s="6">
        <f t="shared" si="6"/>
        <v>0.12555167545063234</v>
      </c>
      <c r="AP24" s="6">
        <f t="shared" si="6"/>
        <v>4.9750608105888709E-2</v>
      </c>
      <c r="AQ24" s="6">
        <f t="shared" si="6"/>
        <v>-0.14969645023170711</v>
      </c>
      <c r="AR24" s="6">
        <f t="shared" si="6"/>
        <v>4.5231157999391015E-2</v>
      </c>
      <c r="AS24" s="6">
        <f t="shared" si="6"/>
        <v>0.11433080984048323</v>
      </c>
      <c r="AT24" s="6">
        <f t="shared" si="6"/>
        <v>-0.11388389451438111</v>
      </c>
      <c r="AU24" s="6">
        <f t="shared" si="6"/>
        <v>-3.8321937959342328E-2</v>
      </c>
      <c r="AV24" s="6">
        <f t="shared" si="6"/>
        <v>0.13247470444688894</v>
      </c>
      <c r="AW24" s="6">
        <f t="shared" si="6"/>
        <v>-4.577644871080655E-2</v>
      </c>
      <c r="AX24" s="6">
        <f t="shared" si="6"/>
        <v>-9.8188258597415243E-2</v>
      </c>
      <c r="AY24" s="6">
        <f t="shared" si="6"/>
        <v>0.10502240801603038</v>
      </c>
      <c r="AZ24" s="4">
        <f t="shared" si="4"/>
        <v>19.481818206800487</v>
      </c>
      <c r="BA24" s="4">
        <v>-1.2416</v>
      </c>
      <c r="BB24" s="5">
        <f t="shared" si="5"/>
        <v>6.1291568903023439</v>
      </c>
      <c r="BC24" s="24">
        <v>6.1012397914587133</v>
      </c>
    </row>
    <row r="25" spans="1:55" x14ac:dyDescent="0.3">
      <c r="A25" s="25">
        <v>-1.1415999999999999</v>
      </c>
      <c r="B25" s="6">
        <f t="shared" si="2"/>
        <v>-7.4265793434662744</v>
      </c>
      <c r="C25" s="6">
        <f t="shared" si="7"/>
        <v>-13.212041857430217</v>
      </c>
      <c r="D25" s="6">
        <f t="shared" si="7"/>
        <v>7.2956428477582156</v>
      </c>
      <c r="E25" s="6">
        <f t="shared" si="7"/>
        <v>0.79344917029715734</v>
      </c>
      <c r="F25" s="6">
        <f t="shared" si="7"/>
        <v>-3.2384265275698105</v>
      </c>
      <c r="G25" s="6">
        <f t="shared" si="7"/>
        <v>1.2828638697143808</v>
      </c>
      <c r="H25" s="6">
        <f t="shared" si="7"/>
        <v>1.0667668813597044</v>
      </c>
      <c r="I25" s="6">
        <f t="shared" si="7"/>
        <v>-1.386148405109783</v>
      </c>
      <c r="J25" s="6">
        <f t="shared" si="7"/>
        <v>0.13809455247618296</v>
      </c>
      <c r="K25" s="6">
        <f t="shared" si="7"/>
        <v>0.86805168102608365</v>
      </c>
      <c r="L25" s="6">
        <f t="shared" si="7"/>
        <v>-0.6540163022493356</v>
      </c>
      <c r="M25" s="6">
        <f t="shared" si="7"/>
        <v>-0.22125119515779018</v>
      </c>
      <c r="N25" s="6">
        <f t="shared" si="7"/>
        <v>0.65310905908835726</v>
      </c>
      <c r="O25" s="6">
        <f t="shared" si="7"/>
        <v>-0.27041824802171321</v>
      </c>
      <c r="P25" s="6">
        <f t="shared" si="7"/>
        <v>-0.3412739980434602</v>
      </c>
      <c r="Q25" s="6">
        <f t="shared" si="7"/>
        <v>0.46345262568591272</v>
      </c>
      <c r="R25" s="6">
        <f t="shared" si="7"/>
        <v>-4.4557212358502213E-2</v>
      </c>
      <c r="S25" s="6">
        <f t="shared" si="7"/>
        <v>-0.36174467171825292</v>
      </c>
      <c r="T25" s="6">
        <f t="shared" si="7"/>
        <v>0.30209607244155517</v>
      </c>
      <c r="U25" s="6">
        <f t="shared" si="7"/>
        <v>9.2136706875824426E-2</v>
      </c>
      <c r="V25" s="6">
        <f t="shared" si="7"/>
        <v>-0.33338577258230867</v>
      </c>
      <c r="W25" s="6">
        <f t="shared" si="7"/>
        <v>0.16768771358409829</v>
      </c>
      <c r="X25" s="6">
        <f t="shared" si="7"/>
        <v>0.17085954047138263</v>
      </c>
      <c r="Y25" s="6">
        <f t="shared" si="7"/>
        <v>-0.27971098170729014</v>
      </c>
      <c r="Z25" s="6">
        <f t="shared" si="3"/>
        <v>5.8767905093258216E-2</v>
      </c>
      <c r="AA25" s="6">
        <f t="shared" si="6"/>
        <v>0.20869225110269957</v>
      </c>
      <c r="AB25" s="6">
        <f t="shared" si="6"/>
        <v>-0.21389711056110089</v>
      </c>
      <c r="AC25" s="6">
        <f t="shared" si="6"/>
        <v>-2.5947953762366499E-2</v>
      </c>
      <c r="AD25" s="6">
        <f t="shared" si="6"/>
        <v>0.21661758883512555</v>
      </c>
      <c r="AE25" s="6">
        <f t="shared" si="6"/>
        <v>-0.1444246064349162</v>
      </c>
      <c r="AF25" s="6">
        <f t="shared" si="6"/>
        <v>-8.7809642277129507E-2</v>
      </c>
      <c r="AG25" s="6">
        <f t="shared" si="6"/>
        <v>0.20270098833242103</v>
      </c>
      <c r="AH25" s="6">
        <f t="shared" si="6"/>
        <v>-7.7221843253588621E-2</v>
      </c>
      <c r="AI25" s="6">
        <f t="shared" si="6"/>
        <v>-0.12844579987140048</v>
      </c>
      <c r="AJ25" s="6">
        <f t="shared" si="6"/>
        <v>0.1734519241023223</v>
      </c>
      <c r="AK25" s="6">
        <f t="shared" si="6"/>
        <v>-1.655001655144446E-2</v>
      </c>
      <c r="AL25" s="6">
        <f t="shared" si="6"/>
        <v>-0.14987707875059872</v>
      </c>
      <c r="AM25" s="6">
        <f t="shared" si="6"/>
        <v>0.13441255528385226</v>
      </c>
      <c r="AN25" s="6">
        <f t="shared" si="6"/>
        <v>3.4607325637335741E-2</v>
      </c>
      <c r="AO25" s="6">
        <f t="shared" si="6"/>
        <v>-0.15453815522820816</v>
      </c>
      <c r="AP25" s="6">
        <f t="shared" si="6"/>
        <v>9.039130331480974E-2</v>
      </c>
      <c r="AQ25" s="6">
        <f t="shared" si="6"/>
        <v>7.4354130430901083E-2</v>
      </c>
      <c r="AR25" s="6">
        <f t="shared" si="6"/>
        <v>-0.14522967745568693</v>
      </c>
      <c r="AS25" s="6">
        <f t="shared" si="6"/>
        <v>4.5528585679142468E-2</v>
      </c>
      <c r="AT25" s="6">
        <f t="shared" si="6"/>
        <v>0.10176521337751543</v>
      </c>
      <c r="AU25" s="6">
        <f t="shared" si="6"/>
        <v>-0.12502024770634493</v>
      </c>
      <c r="AV25" s="6">
        <f t="shared" si="6"/>
        <v>3.2875679295618146E-3</v>
      </c>
      <c r="AW25" s="6">
        <f t="shared" si="6"/>
        <v>0.11678667438935862</v>
      </c>
      <c r="AX25" s="6">
        <f t="shared" si="6"/>
        <v>-9.7116146950569276E-2</v>
      </c>
      <c r="AY25" s="6">
        <f t="shared" si="6"/>
        <v>-3.3579992241305548E-2</v>
      </c>
      <c r="AZ25" s="4">
        <f t="shared" si="4"/>
        <v>19.481818206800487</v>
      </c>
      <c r="BA25" s="4">
        <v>-1.1415999999999999</v>
      </c>
      <c r="BB25" s="5">
        <f t="shared" si="5"/>
        <v>5.0681801546282443</v>
      </c>
      <c r="BC25" s="24">
        <v>5.1232620221403131</v>
      </c>
    </row>
    <row r="26" spans="1:55" x14ac:dyDescent="0.3">
      <c r="A26" s="25">
        <v>-1.0416000000000001</v>
      </c>
      <c r="B26" s="6">
        <f t="shared" si="2"/>
        <v>-10.448962900380691</v>
      </c>
      <c r="C26" s="6">
        <f t="shared" si="7"/>
        <v>-10.821498322819178</v>
      </c>
      <c r="D26" s="6">
        <f t="shared" si="7"/>
        <v>8.2128194459901067</v>
      </c>
      <c r="E26" s="6">
        <f t="shared" si="7"/>
        <v>-1.183179699618887</v>
      </c>
      <c r="F26" s="6">
        <f t="shared" si="7"/>
        <v>-2.5210679193779546</v>
      </c>
      <c r="G26" s="6">
        <f t="shared" si="7"/>
        <v>2.1885714211130058</v>
      </c>
      <c r="H26" s="6">
        <f t="shared" si="7"/>
        <v>-0.12411283220332381</v>
      </c>
      <c r="I26" s="6">
        <f t="shared" si="7"/>
        <v>-1.22865955937923</v>
      </c>
      <c r="J26" s="6">
        <f t="shared" si="7"/>
        <v>0.99980347082189935</v>
      </c>
      <c r="K26" s="6">
        <f t="shared" si="7"/>
        <v>7.2225172177528663E-2</v>
      </c>
      <c r="L26" s="6">
        <f t="shared" si="7"/>
        <v>-0.77767885324164343</v>
      </c>
      <c r="M26" s="6">
        <f t="shared" si="7"/>
        <v>0.57832532262981284</v>
      </c>
      <c r="N26" s="6">
        <f t="shared" si="7"/>
        <v>0.12041385773911834</v>
      </c>
      <c r="O26" s="6">
        <f t="shared" si="7"/>
        <v>-0.55974284428888843</v>
      </c>
      <c r="P26" s="6">
        <f t="shared" si="7"/>
        <v>0.3822840847977792</v>
      </c>
      <c r="Q26" s="6">
        <f t="shared" si="7"/>
        <v>0.12962460043938706</v>
      </c>
      <c r="R26" s="6">
        <f t="shared" si="7"/>
        <v>-0.43430634959202219</v>
      </c>
      <c r="S26" s="6">
        <f t="shared" si="7"/>
        <v>0.2755316039067926</v>
      </c>
      <c r="T26" s="6">
        <f t="shared" si="7"/>
        <v>0.12654491379313734</v>
      </c>
      <c r="U26" s="6">
        <f t="shared" si="7"/>
        <v>-0.35379931171302448</v>
      </c>
      <c r="V26" s="6">
        <f t="shared" si="7"/>
        <v>0.21106781363260052</v>
      </c>
      <c r="W26" s="6">
        <f t="shared" si="7"/>
        <v>0.11947014546014724</v>
      </c>
      <c r="X26" s="6">
        <f t="shared" ref="C26:Y37" si="8">SUM(((((8*(POWER(PI(),2))*(POWER(X$4,2)))-48)*(POWER((-1),X$4))/(POWER(X$4,4)))*COS(X$4*$A26))+(((6*POWER((-1),X$4))/X$4)*SIN(X$4*$A26)))</f>
        <v>-0.29814554155389583</v>
      </c>
      <c r="Y26" s="6">
        <f t="shared" si="8"/>
        <v>0.16918374123857299</v>
      </c>
      <c r="Z26" s="6">
        <f t="shared" si="3"/>
        <v>0.1113438983924912</v>
      </c>
      <c r="AA26" s="6">
        <f t="shared" ref="AA26:AY36" si="9">SUM(((((8*(POWER(PI(),2))*(POWER(AA$4,2)))-48)*(POWER((-1),AA$4))/(POWER(AA$4,4)))*COS(AA$4*$A26))+(((6*POWER((-1),AA$4))/AA$4)*SIN(AA$4*$A26)))</f>
        <v>-0.2575471844608887</v>
      </c>
      <c r="AB26" s="6">
        <f t="shared" si="9"/>
        <v>0.14044211400434753</v>
      </c>
      <c r="AC26" s="6">
        <f t="shared" si="9"/>
        <v>0.10327559049917101</v>
      </c>
      <c r="AD26" s="6">
        <f t="shared" si="9"/>
        <v>-0.22670175670615292</v>
      </c>
      <c r="AE26" s="6">
        <f t="shared" si="9"/>
        <v>0.11986501705944558</v>
      </c>
      <c r="AF26" s="6">
        <f t="shared" si="9"/>
        <v>9.5676842700807369E-2</v>
      </c>
      <c r="AG26" s="6">
        <f t="shared" si="9"/>
        <v>-0.2025084652717058</v>
      </c>
      <c r="AH26" s="6">
        <f t="shared" si="9"/>
        <v>0.10462538487899496</v>
      </c>
      <c r="AI26" s="6">
        <f t="shared" si="9"/>
        <v>8.8676795436827438E-2</v>
      </c>
      <c r="AJ26" s="6">
        <f t="shared" si="9"/>
        <v>-0.18304138718804275</v>
      </c>
      <c r="AK26" s="6">
        <f t="shared" si="9"/>
        <v>9.3021172069816499E-2</v>
      </c>
      <c r="AL26" s="6">
        <f t="shared" si="9"/>
        <v>8.2287557450714782E-2</v>
      </c>
      <c r="AM26" s="6">
        <f t="shared" si="9"/>
        <v>-0.16704521026423835</v>
      </c>
      <c r="AN26" s="6">
        <f t="shared" si="9"/>
        <v>8.3978002838634186E-2</v>
      </c>
      <c r="AO26" s="6">
        <f t="shared" si="9"/>
        <v>7.6474083239265453E-2</v>
      </c>
      <c r="AP26" s="6">
        <f t="shared" si="9"/>
        <v>-0.15366877951329788</v>
      </c>
      <c r="AQ26" s="6">
        <f t="shared" si="9"/>
        <v>7.6790616121451494E-2</v>
      </c>
      <c r="AR26" s="6">
        <f t="shared" si="9"/>
        <v>7.1184710971971099E-2</v>
      </c>
      <c r="AS26" s="6">
        <f t="shared" si="9"/>
        <v>-0.14231567164614126</v>
      </c>
      <c r="AT26" s="6">
        <f t="shared" si="9"/>
        <v>7.0980535498065767E-2</v>
      </c>
      <c r="AU26" s="6">
        <f t="shared" si="9"/>
        <v>6.6364611355967967E-2</v>
      </c>
      <c r="AV26" s="6">
        <f t="shared" si="9"/>
        <v>-0.13255616159227041</v>
      </c>
      <c r="AW26" s="6">
        <f t="shared" si="9"/>
        <v>6.6213879287491006E-2</v>
      </c>
      <c r="AX26" s="6">
        <f t="shared" si="9"/>
        <v>6.1961533243532346E-2</v>
      </c>
      <c r="AY26" s="6">
        <f t="shared" si="9"/>
        <v>-0.12407315599004423</v>
      </c>
      <c r="AZ26" s="4">
        <f t="shared" si="4"/>
        <v>19.481818206800487</v>
      </c>
      <c r="BA26" s="4">
        <v>-1.0416000000000001</v>
      </c>
      <c r="BB26" s="5">
        <f t="shared" si="5"/>
        <v>4.2402342387878544</v>
      </c>
      <c r="BC26" s="24">
        <v>4.3018743200219145</v>
      </c>
    </row>
    <row r="27" spans="1:55" x14ac:dyDescent="0.3">
      <c r="A27" s="25">
        <v>-0.94159999999999999</v>
      </c>
      <c r="B27" s="6">
        <f t="shared" si="2"/>
        <v>-13.36694387396243</v>
      </c>
      <c r="C27" s="6">
        <f t="shared" si="8"/>
        <v>-7.9995357992900331</v>
      </c>
      <c r="D27" s="6">
        <f t="shared" si="8"/>
        <v>8.3963693429511714</v>
      </c>
      <c r="E27" s="6">
        <f t="shared" si="8"/>
        <v>-2.9730105107271756</v>
      </c>
      <c r="F27" s="6">
        <f t="shared" si="8"/>
        <v>-1.1864639592048636</v>
      </c>
      <c r="G27" s="6">
        <f t="shared" si="8"/>
        <v>2.3297480095217238</v>
      </c>
      <c r="H27" s="6">
        <f t="shared" si="8"/>
        <v>-1.256620341464634</v>
      </c>
      <c r="I27" s="6">
        <f t="shared" si="8"/>
        <v>-0.32588231193629985</v>
      </c>
      <c r="J27" s="6">
        <f t="shared" si="8"/>
        <v>1.1048810550728199</v>
      </c>
      <c r="K27" s="6">
        <f t="shared" si="8"/>
        <v>-0.79000482688759932</v>
      </c>
      <c r="L27" s="6">
        <f t="shared" si="8"/>
        <v>-5.1487920840864954E-2</v>
      </c>
      <c r="M27" s="6">
        <f t="shared" si="8"/>
        <v>0.64037252568806435</v>
      </c>
      <c r="N27" s="6">
        <f t="shared" si="8"/>
        <v>-0.58868792729759367</v>
      </c>
      <c r="O27" s="6">
        <f t="shared" si="8"/>
        <v>8.0142464016439152E-2</v>
      </c>
      <c r="P27" s="6">
        <f t="shared" si="8"/>
        <v>0.39535741084484838</v>
      </c>
      <c r="Q27" s="6">
        <f t="shared" si="8"/>
        <v>-0.47102257850856355</v>
      </c>
      <c r="R27" s="6">
        <f t="shared" si="8"/>
        <v>0.15647317632354052</v>
      </c>
      <c r="S27" s="6">
        <f t="shared" si="8"/>
        <v>0.23654195659471355</v>
      </c>
      <c r="T27" s="6">
        <f t="shared" si="8"/>
        <v>-0.38391737317948033</v>
      </c>
      <c r="U27" s="6">
        <f t="shared" si="8"/>
        <v>0.20232822180803847</v>
      </c>
      <c r="V27" s="6">
        <f t="shared" si="8"/>
        <v>0.12027224554465327</v>
      </c>
      <c r="W27" s="6">
        <f t="shared" si="8"/>
        <v>-0.30830434174800753</v>
      </c>
      <c r="X27" s="6">
        <f t="shared" si="8"/>
        <v>0.22643490990631321</v>
      </c>
      <c r="Y27" s="6">
        <f t="shared" si="8"/>
        <v>3.020092658512831E-2</v>
      </c>
      <c r="Z27" s="6">
        <f t="shared" si="3"/>
        <v>-0.23717281174775848</v>
      </c>
      <c r="AA27" s="6">
        <f t="shared" si="9"/>
        <v>0.23268632055004668</v>
      </c>
      <c r="AB27" s="6">
        <f t="shared" si="9"/>
        <v>-4.0042495113528573E-2</v>
      </c>
      <c r="AC27" s="6">
        <f t="shared" si="9"/>
        <v>-0.16866918346576482</v>
      </c>
      <c r="AD27" s="6">
        <f t="shared" si="9"/>
        <v>0.22361825462006468</v>
      </c>
      <c r="AE27" s="6">
        <f t="shared" si="9"/>
        <v>-9.2906328552555387E-2</v>
      </c>
      <c r="AF27" s="6">
        <f t="shared" si="9"/>
        <v>-0.10337855094195866</v>
      </c>
      <c r="AG27" s="6">
        <f t="shared" si="9"/>
        <v>0.20162529753749306</v>
      </c>
      <c r="AH27" s="6">
        <f t="shared" si="9"/>
        <v>-0.12940905872028655</v>
      </c>
      <c r="AI27" s="6">
        <f t="shared" si="9"/>
        <v>-4.3019331232726318E-2</v>
      </c>
      <c r="AJ27" s="6">
        <f t="shared" si="9"/>
        <v>0.16936873806413111</v>
      </c>
      <c r="AK27" s="6">
        <f t="shared" si="9"/>
        <v>-0.150285021350307</v>
      </c>
      <c r="AL27" s="6">
        <f t="shared" si="9"/>
        <v>1.0300918583953093E-2</v>
      </c>
      <c r="AM27" s="6">
        <f t="shared" si="9"/>
        <v>0.12984218021408206</v>
      </c>
      <c r="AN27" s="6">
        <f t="shared" si="9"/>
        <v>-0.15653201584288859</v>
      </c>
      <c r="AO27" s="6">
        <f t="shared" si="9"/>
        <v>5.4564561886730707E-2</v>
      </c>
      <c r="AP27" s="6">
        <f t="shared" si="9"/>
        <v>8.6273685282760068E-2</v>
      </c>
      <c r="AQ27" s="6">
        <f t="shared" si="9"/>
        <v>-0.1496489914928249</v>
      </c>
      <c r="AR27" s="6">
        <f t="shared" si="9"/>
        <v>8.8168131011050671E-2</v>
      </c>
      <c r="AS27" s="6">
        <f t="shared" si="9"/>
        <v>4.1947981940687898E-2</v>
      </c>
      <c r="AT27" s="6">
        <f t="shared" si="9"/>
        <v>-0.131690010826195</v>
      </c>
      <c r="AU27" s="6">
        <f t="shared" si="9"/>
        <v>0.1101343299810755</v>
      </c>
      <c r="AV27" s="6">
        <f t="shared" si="9"/>
        <v>-3.1805777632246124E-6</v>
      </c>
      <c r="AW27" s="6">
        <f t="shared" si="9"/>
        <v>-0.10519938013488295</v>
      </c>
      <c r="AX27" s="6">
        <f t="shared" si="9"/>
        <v>0.1202293317071826</v>
      </c>
      <c r="AY27" s="6">
        <f t="shared" si="9"/>
        <v>-3.6809732929605897E-2</v>
      </c>
      <c r="AZ27" s="4">
        <f t="shared" si="4"/>
        <v>19.481818206800487</v>
      </c>
      <c r="BA27" s="4">
        <v>-0.94159999999999999</v>
      </c>
      <c r="BB27" s="5">
        <f t="shared" si="5"/>
        <v>3.6230523250606037</v>
      </c>
      <c r="BC27" s="24">
        <v>3.6108782851035133</v>
      </c>
    </row>
    <row r="28" spans="1:55" x14ac:dyDescent="0.3">
      <c r="A28" s="25">
        <v>-0.84160000000000001</v>
      </c>
      <c r="B28" s="6">
        <f t="shared" si="2"/>
        <v>-16.151366762879718</v>
      </c>
      <c r="C28" s="6">
        <f t="shared" si="8"/>
        <v>-4.8586570274381922</v>
      </c>
      <c r="D28" s="6">
        <f t="shared" si="8"/>
        <v>7.8298965730035786</v>
      </c>
      <c r="E28" s="6">
        <f t="shared" si="8"/>
        <v>-4.293468332763906</v>
      </c>
      <c r="F28" s="6">
        <f t="shared" si="8"/>
        <v>0.43862775755875671</v>
      </c>
      <c r="G28" s="6">
        <f t="shared" si="8"/>
        <v>1.6570765909334146</v>
      </c>
      <c r="H28" s="6">
        <f t="shared" si="8"/>
        <v>-1.7981196689006567</v>
      </c>
      <c r="I28" s="6">
        <f t="shared" si="8"/>
        <v>0.77457077301205768</v>
      </c>
      <c r="J28" s="6">
        <f t="shared" si="8"/>
        <v>0.37380668435144776</v>
      </c>
      <c r="K28" s="6">
        <f t="shared" si="8"/>
        <v>-0.92590803140618971</v>
      </c>
      <c r="L28" s="6">
        <f t="shared" si="8"/>
        <v>0.73096941085427591</v>
      </c>
      <c r="M28" s="6">
        <f t="shared" si="8"/>
        <v>-0.11423742175604773</v>
      </c>
      <c r="N28" s="6">
        <f t="shared" si="8"/>
        <v>-0.4353605196942027</v>
      </c>
      <c r="O28" s="6">
        <f t="shared" si="8"/>
        <v>0.58698601555660701</v>
      </c>
      <c r="P28" s="6">
        <f t="shared" si="8"/>
        <v>-0.32635113099427332</v>
      </c>
      <c r="Q28" s="6">
        <f t="shared" si="8"/>
        <v>-0.10211733186824393</v>
      </c>
      <c r="R28" s="6">
        <f t="shared" si="8"/>
        <v>0.39398493504357995</v>
      </c>
      <c r="S28" s="6">
        <f t="shared" si="8"/>
        <v>-0.38301725994903413</v>
      </c>
      <c r="T28" s="6">
        <f t="shared" si="8"/>
        <v>0.12168804877999934</v>
      </c>
      <c r="U28" s="6">
        <f t="shared" si="8"/>
        <v>0.18540281281377693</v>
      </c>
      <c r="V28" s="6">
        <f t="shared" si="8"/>
        <v>-0.33250576294199352</v>
      </c>
      <c r="W28" s="6">
        <f t="shared" si="8"/>
        <v>0.24340475368660619</v>
      </c>
      <c r="X28" s="6">
        <f t="shared" si="8"/>
        <v>-3.590760148572042E-3</v>
      </c>
      <c r="Y28" s="6">
        <f t="shared" si="8"/>
        <v>-0.21372368817336684</v>
      </c>
      <c r="Z28" s="6">
        <f t="shared" si="3"/>
        <v>0.26867506943357267</v>
      </c>
      <c r="AA28" s="6">
        <f t="shared" si="9"/>
        <v>-0.14122539782338511</v>
      </c>
      <c r="AB28" s="6">
        <f t="shared" si="9"/>
        <v>-6.803950534635661E-2</v>
      </c>
      <c r="AC28" s="6">
        <f t="shared" si="9"/>
        <v>0.21457215518839864</v>
      </c>
      <c r="AD28" s="6">
        <f t="shared" si="9"/>
        <v>-0.20754618369355088</v>
      </c>
      <c r="AE28" s="6">
        <f t="shared" si="9"/>
        <v>6.4088119248005546E-2</v>
      </c>
      <c r="AF28" s="6">
        <f t="shared" si="9"/>
        <v>0.11090144536004876</v>
      </c>
      <c r="AG28" s="6">
        <f t="shared" si="9"/>
        <v>-0.20005449712777829</v>
      </c>
      <c r="AH28" s="6">
        <f t="shared" si="9"/>
        <v>0.15095227017946711</v>
      </c>
      <c r="AI28" s="6">
        <f t="shared" si="9"/>
        <v>-5.4947720732741942E-3</v>
      </c>
      <c r="AJ28" s="6">
        <f t="shared" si="9"/>
        <v>-0.13417158756827446</v>
      </c>
      <c r="AK28" s="6">
        <f t="shared" si="9"/>
        <v>0.17651754341987172</v>
      </c>
      <c r="AL28" s="6">
        <f t="shared" si="9"/>
        <v>-9.9759976206108159E-2</v>
      </c>
      <c r="AM28" s="6">
        <f t="shared" si="9"/>
        <v>-3.8356734123585798E-2</v>
      </c>
      <c r="AN28" s="6">
        <f t="shared" si="9"/>
        <v>0.14328529104520704</v>
      </c>
      <c r="AO28" s="6">
        <f t="shared" si="9"/>
        <v>-0.14780563884422404</v>
      </c>
      <c r="AP28" s="6">
        <f t="shared" si="9"/>
        <v>5.4484419000887421E-2</v>
      </c>
      <c r="AQ28" s="6">
        <f t="shared" si="9"/>
        <v>6.9943458842707168E-2</v>
      </c>
      <c r="AR28" s="6">
        <f t="shared" si="9"/>
        <v>-0.14186013879810647</v>
      </c>
      <c r="AS28" s="6">
        <f t="shared" si="9"/>
        <v>0.11653168428687206</v>
      </c>
      <c r="AT28" s="6">
        <f t="shared" si="9"/>
        <v>-1.5461133279754982E-2</v>
      </c>
      <c r="AU28" s="6">
        <f t="shared" si="9"/>
        <v>-9.1068298175321152E-2</v>
      </c>
      <c r="AV28" s="6">
        <f t="shared" si="9"/>
        <v>0.13255624039848546</v>
      </c>
      <c r="AW28" s="6">
        <f t="shared" si="9"/>
        <v>-8.4623556928016347E-2</v>
      </c>
      <c r="AX28" s="6">
        <f t="shared" si="9"/>
        <v>-1.7113018181933094E-2</v>
      </c>
      <c r="AY28" s="6">
        <f t="shared" si="9"/>
        <v>0.10319009741178484</v>
      </c>
      <c r="AZ28" s="4">
        <f t="shared" si="4"/>
        <v>19.481818206800487</v>
      </c>
      <c r="BA28" s="4">
        <v>-0.84160000000000001</v>
      </c>
      <c r="BB28" s="5">
        <f t="shared" si="5"/>
        <v>3.0929262191258253</v>
      </c>
      <c r="BC28" s="24">
        <v>3.0264755173851134</v>
      </c>
    </row>
    <row r="29" spans="1:55" x14ac:dyDescent="0.3">
      <c r="A29" s="25">
        <v>-0.74160000000000004</v>
      </c>
      <c r="B29" s="6">
        <f t="shared" si="2"/>
        <v>-18.774410534034338</v>
      </c>
      <c r="C29" s="6">
        <f t="shared" si="8"/>
        <v>-1.5240789322812647</v>
      </c>
      <c r="D29" s="6">
        <f t="shared" si="8"/>
        <v>6.5640024615885375</v>
      </c>
      <c r="E29" s="6">
        <f t="shared" si="8"/>
        <v>-4.9360819098636908</v>
      </c>
      <c r="F29" s="6">
        <f t="shared" si="8"/>
        <v>1.9563281015941494</v>
      </c>
      <c r="G29" s="6">
        <f t="shared" si="8"/>
        <v>0.4055406447392037</v>
      </c>
      <c r="H29" s="6">
        <f t="shared" si="8"/>
        <v>-1.4939352196578435</v>
      </c>
      <c r="I29" s="6">
        <f t="shared" si="8"/>
        <v>1.4051796207797418</v>
      </c>
      <c r="J29" s="6">
        <f t="shared" si="8"/>
        <v>-0.64015713267468832</v>
      </c>
      <c r="K29" s="6">
        <f t="shared" si="8"/>
        <v>-0.21053566189358902</v>
      </c>
      <c r="L29" s="6">
        <f t="shared" si="8"/>
        <v>0.71461770012934323</v>
      </c>
      <c r="M29" s="6">
        <f t="shared" si="8"/>
        <v>-0.72316215693751684</v>
      </c>
      <c r="N29" s="6">
        <f t="shared" si="8"/>
        <v>0.35577106920241169</v>
      </c>
      <c r="O29" s="6">
        <f t="shared" si="8"/>
        <v>0.11939420795666722</v>
      </c>
      <c r="P29" s="6">
        <f t="shared" si="8"/>
        <v>-0.44152774238009812</v>
      </c>
      <c r="Q29" s="6">
        <f t="shared" si="8"/>
        <v>0.47698613312703331</v>
      </c>
      <c r="R29" s="6">
        <f t="shared" si="8"/>
        <v>-0.25799875575503112</v>
      </c>
      <c r="S29" s="6">
        <f t="shared" si="8"/>
        <v>-6.2497309066659984E-2</v>
      </c>
      <c r="T29" s="6">
        <f t="shared" si="8"/>
        <v>0.30523642001437856</v>
      </c>
      <c r="U29" s="6">
        <f t="shared" si="8"/>
        <v>-0.35663780988682903</v>
      </c>
      <c r="V29" s="6">
        <f t="shared" si="8"/>
        <v>0.21545623281188406</v>
      </c>
      <c r="W29" s="6">
        <f t="shared" si="8"/>
        <v>2.181640276834787E-2</v>
      </c>
      <c r="X29" s="6">
        <f t="shared" si="8"/>
        <v>-0.22165003513599246</v>
      </c>
      <c r="Y29" s="6">
        <f t="shared" si="8"/>
        <v>0.28499608245754637</v>
      </c>
      <c r="Z29" s="6">
        <f t="shared" si="3"/>
        <v>-0.19332182131891323</v>
      </c>
      <c r="AA29" s="6">
        <f t="shared" si="9"/>
        <v>9.3425896197808361E-3</v>
      </c>
      <c r="AB29" s="6">
        <f t="shared" si="9"/>
        <v>0.16306773779405231</v>
      </c>
      <c r="AC29" s="6">
        <f t="shared" si="9"/>
        <v>-0.23568017314209777</v>
      </c>
      <c r="AD29" s="6">
        <f t="shared" si="9"/>
        <v>0.17941906878571573</v>
      </c>
      <c r="AE29" s="6">
        <f t="shared" si="9"/>
        <v>-3.398718580096477E-2</v>
      </c>
      <c r="AF29" s="6">
        <f t="shared" si="9"/>
        <v>-0.11823251360871373</v>
      </c>
      <c r="AG29" s="6">
        <f t="shared" si="9"/>
        <v>0.19780142117632199</v>
      </c>
      <c r="AH29" s="6">
        <f t="shared" si="9"/>
        <v>-0.16871556732779541</v>
      </c>
      <c r="AI29" s="6">
        <f t="shared" si="9"/>
        <v>5.3644002650880825E-2</v>
      </c>
      <c r="AJ29" s="6">
        <f t="shared" si="9"/>
        <v>8.1923022781336285E-2</v>
      </c>
      <c r="AK29" s="6">
        <f t="shared" si="9"/>
        <v>-0.16630216403448972</v>
      </c>
      <c r="AL29" s="6">
        <f t="shared" si="9"/>
        <v>0.15891195938370678</v>
      </c>
      <c r="AM29" s="6">
        <f t="shared" si="9"/>
        <v>-6.9164303761597892E-2</v>
      </c>
      <c r="AN29" s="6">
        <f t="shared" si="9"/>
        <v>-5.1498827129981398E-2</v>
      </c>
      <c r="AO29" s="6">
        <f t="shared" si="9"/>
        <v>0.13865986402966513</v>
      </c>
      <c r="AP29" s="6">
        <f t="shared" si="9"/>
        <v>-0.14891158279208461</v>
      </c>
      <c r="AQ29" s="6">
        <f t="shared" si="9"/>
        <v>8.1067916333554757E-2</v>
      </c>
      <c r="AR29" s="6">
        <f t="shared" si="9"/>
        <v>2.5546721351812983E-2</v>
      </c>
      <c r="AS29" s="6">
        <f t="shared" si="9"/>
        <v>-0.11357601589129523</v>
      </c>
      <c r="AT29" s="6">
        <f t="shared" si="9"/>
        <v>0.13820829472581858</v>
      </c>
      <c r="AU29" s="6">
        <f t="shared" si="9"/>
        <v>-8.9707250453000459E-2</v>
      </c>
      <c r="AV29" s="6">
        <f t="shared" si="9"/>
        <v>-3.281208726642712E-3</v>
      </c>
      <c r="AW29" s="6">
        <f t="shared" si="9"/>
        <v>9.0390429722420285E-2</v>
      </c>
      <c r="AX29" s="6">
        <f t="shared" si="9"/>
        <v>-0.12661291084535045</v>
      </c>
      <c r="AY29" s="6">
        <f t="shared" si="9"/>
        <v>9.5351990029586081E-2</v>
      </c>
      <c r="AZ29" s="4">
        <f t="shared" si="4"/>
        <v>19.481818206800487</v>
      </c>
      <c r="BA29" s="4">
        <v>-0.74160000000000004</v>
      </c>
      <c r="BB29" s="5">
        <f t="shared" si="5"/>
        <v>2.5588135779539058</v>
      </c>
      <c r="BC29" s="24">
        <v>2.5272676168667139</v>
      </c>
    </row>
    <row r="30" spans="1:55" x14ac:dyDescent="0.3">
      <c r="A30" s="25">
        <v>-0.64159999999999995</v>
      </c>
      <c r="B30" s="6">
        <f t="shared" si="2"/>
        <v>-21.20986660112791</v>
      </c>
      <c r="C30" s="6">
        <f t="shared" si="8"/>
        <v>1.8712593803965305</v>
      </c>
      <c r="D30" s="6">
        <f t="shared" si="8"/>
        <v>4.7117655595280761</v>
      </c>
      <c r="E30" s="6">
        <f t="shared" si="8"/>
        <v>-4.7993966879935144</v>
      </c>
      <c r="F30" s="6">
        <f t="shared" si="8"/>
        <v>2.9950510970314905</v>
      </c>
      <c r="G30" s="6">
        <f t="shared" si="8"/>
        <v>-0.9876623161400202</v>
      </c>
      <c r="H30" s="6">
        <f t="shared" si="8"/>
        <v>-0.48712969322821703</v>
      </c>
      <c r="I30" s="6">
        <f t="shared" si="8"/>
        <v>1.1834253662582452</v>
      </c>
      <c r="J30" s="6">
        <f t="shared" si="8"/>
        <v>-1.1696627942117535</v>
      </c>
      <c r="K30" s="6">
        <f t="shared" si="8"/>
        <v>0.69840222422902787</v>
      </c>
      <c r="L30" s="6">
        <f t="shared" si="8"/>
        <v>-8.2673776692804124E-2</v>
      </c>
      <c r="M30" s="6">
        <f t="shared" si="8"/>
        <v>-0.40984940886472498</v>
      </c>
      <c r="N30" s="6">
        <f t="shared" si="8"/>
        <v>0.62569720823452735</v>
      </c>
      <c r="O30" s="6">
        <f t="shared" si="8"/>
        <v>-0.54639983074614362</v>
      </c>
      <c r="P30" s="6">
        <f t="shared" si="8"/>
        <v>0.263886257085021</v>
      </c>
      <c r="Q30" s="6">
        <f t="shared" si="8"/>
        <v>7.4261797404946817E-2</v>
      </c>
      <c r="R30" s="6">
        <f t="shared" si="8"/>
        <v>-0.32750149661531669</v>
      </c>
      <c r="S30" s="6">
        <f t="shared" si="8"/>
        <v>0.41141629901428678</v>
      </c>
      <c r="T30" s="6">
        <f t="shared" si="8"/>
        <v>-0.31904754881482966</v>
      </c>
      <c r="U30" s="6">
        <f t="shared" si="8"/>
        <v>0.11142457994123384</v>
      </c>
      <c r="V30" s="6">
        <f t="shared" si="8"/>
        <v>0.11496128324831374</v>
      </c>
      <c r="W30" s="6">
        <f t="shared" si="8"/>
        <v>-0.26908270849393628</v>
      </c>
      <c r="X30" s="6">
        <f t="shared" si="8"/>
        <v>0.2989509672024559</v>
      </c>
      <c r="Y30" s="6">
        <f t="shared" si="8"/>
        <v>-0.20658495214277184</v>
      </c>
      <c r="Z30" s="6">
        <f t="shared" si="3"/>
        <v>4.1082016357532211E-2</v>
      </c>
      <c r="AA30" s="6">
        <f t="shared" si="9"/>
        <v>0.12521427787832101</v>
      </c>
      <c r="AB30" s="6">
        <f t="shared" si="9"/>
        <v>-0.22681049265633368</v>
      </c>
      <c r="AC30" s="6">
        <f t="shared" si="9"/>
        <v>0.22955409358588569</v>
      </c>
      <c r="AD30" s="6">
        <f t="shared" si="9"/>
        <v>-0.14087063594850269</v>
      </c>
      <c r="AE30" s="6">
        <f t="shared" si="9"/>
        <v>3.2059985990358503E-3</v>
      </c>
      <c r="AF30" s="6">
        <f t="shared" si="9"/>
        <v>0.12535907514320954</v>
      </c>
      <c r="AG30" s="6">
        <f t="shared" si="9"/>
        <v>-0.19487375368242127</v>
      </c>
      <c r="AH30" s="6">
        <f t="shared" si="9"/>
        <v>0.18225414903032286</v>
      </c>
      <c r="AI30" s="6">
        <f t="shared" si="9"/>
        <v>-9.8231077537925232E-2</v>
      </c>
      <c r="AJ30" s="6">
        <f t="shared" si="9"/>
        <v>-1.9263137485041715E-2</v>
      </c>
      <c r="AK30" s="6">
        <f t="shared" si="9"/>
        <v>0.12174818708514926</v>
      </c>
      <c r="AL30" s="6">
        <f t="shared" si="9"/>
        <v>-0.16978649937886148</v>
      </c>
      <c r="AM30" s="6">
        <f t="shared" si="9"/>
        <v>0.14777019630851554</v>
      </c>
      <c r="AN30" s="6">
        <f t="shared" si="9"/>
        <v>-6.8515966561063818E-2</v>
      </c>
      <c r="AO30" s="6">
        <f t="shared" si="9"/>
        <v>-3.3462632341388271E-2</v>
      </c>
      <c r="AP30" s="6">
        <f t="shared" si="9"/>
        <v>0.1167114684092356</v>
      </c>
      <c r="AQ30" s="6">
        <f t="shared" si="9"/>
        <v>-0.14943230533484256</v>
      </c>
      <c r="AR30" s="6">
        <f t="shared" si="9"/>
        <v>0.12138192926377799</v>
      </c>
      <c r="AS30" s="6">
        <f t="shared" si="9"/>
        <v>-4.6720398437699977E-2</v>
      </c>
      <c r="AT30" s="6">
        <f t="shared" si="9"/>
        <v>-4.2806322669632038E-2</v>
      </c>
      <c r="AU30" s="6">
        <f t="shared" si="9"/>
        <v>0.11119008782072071</v>
      </c>
      <c r="AV30" s="6">
        <f t="shared" si="9"/>
        <v>-0.13247494081715372</v>
      </c>
      <c r="AW30" s="6">
        <f t="shared" si="9"/>
        <v>0.10044169835474942</v>
      </c>
      <c r="AX30" s="6">
        <f t="shared" si="9"/>
        <v>-3.0116729820578204E-2</v>
      </c>
      <c r="AY30" s="6">
        <f t="shared" si="9"/>
        <v>-4.9094589651664522E-2</v>
      </c>
      <c r="AZ30" s="4">
        <f t="shared" si="4"/>
        <v>19.481818206800487</v>
      </c>
      <c r="BA30" s="4">
        <v>-0.64159999999999995</v>
      </c>
      <c r="BB30" s="5">
        <f t="shared" si="5"/>
        <v>2.050916106816036</v>
      </c>
      <c r="BC30" s="24">
        <v>2.0942561835483136</v>
      </c>
    </row>
    <row r="31" spans="1:55" x14ac:dyDescent="0.3">
      <c r="A31" s="25">
        <v>-0.54159999999999997</v>
      </c>
      <c r="B31" s="6">
        <f t="shared" si="2"/>
        <v>-23.433400692192766</v>
      </c>
      <c r="C31" s="6">
        <f t="shared" si="8"/>
        <v>5.1919964866783612</v>
      </c>
      <c r="D31" s="6">
        <f t="shared" si="8"/>
        <v>2.4386406728564634</v>
      </c>
      <c r="E31" s="6">
        <f t="shared" si="8"/>
        <v>-3.9049922582512311</v>
      </c>
      <c r="F31" s="6">
        <f t="shared" si="8"/>
        <v>3.3004811278567825</v>
      </c>
      <c r="G31" s="6">
        <f t="shared" si="8"/>
        <v>-2.0358464147682835</v>
      </c>
      <c r="H31" s="6">
        <f t="shared" si="8"/>
        <v>0.74878053953805868</v>
      </c>
      <c r="I31" s="6">
        <f t="shared" si="8"/>
        <v>0.24382116458775061</v>
      </c>
      <c r="J31" s="6">
        <f t="shared" si="8"/>
        <v>-0.81399097212000071</v>
      </c>
      <c r="K31" s="6">
        <f t="shared" si="8"/>
        <v>0.96523232624235078</v>
      </c>
      <c r="L31" s="6">
        <f t="shared" si="8"/>
        <v>-0.78961870903226283</v>
      </c>
      <c r="M31" s="6">
        <f t="shared" si="8"/>
        <v>0.42613793399788891</v>
      </c>
      <c r="N31" s="6">
        <f t="shared" si="8"/>
        <v>-2.1024528649590701E-2</v>
      </c>
      <c r="O31" s="6">
        <f t="shared" si="8"/>
        <v>-0.30513424418286123</v>
      </c>
      <c r="P31" s="6">
        <f t="shared" si="8"/>
        <v>0.47886089314961444</v>
      </c>
      <c r="Q31" s="6">
        <f t="shared" si="8"/>
        <v>-0.48132295114595253</v>
      </c>
      <c r="R31" s="6">
        <f t="shared" si="8"/>
        <v>0.34239228517988718</v>
      </c>
      <c r="S31" s="6">
        <f t="shared" si="8"/>
        <v>-0.12445198078718739</v>
      </c>
      <c r="T31" s="6">
        <f t="shared" si="8"/>
        <v>-9.8946932283961092E-2</v>
      </c>
      <c r="U31" s="6">
        <f t="shared" si="8"/>
        <v>0.26389983697455177</v>
      </c>
      <c r="V31" s="6">
        <f t="shared" si="8"/>
        <v>-0.33153174486730852</v>
      </c>
      <c r="W31" s="6">
        <f t="shared" si="8"/>
        <v>0.29489454639720492</v>
      </c>
      <c r="X31" s="6">
        <f t="shared" si="8"/>
        <v>-0.17671768683482322</v>
      </c>
      <c r="Y31" s="6">
        <f t="shared" si="8"/>
        <v>1.9672808413391071E-2</v>
      </c>
      <c r="Z31" s="6">
        <f t="shared" si="3"/>
        <v>0.12749663108164994</v>
      </c>
      <c r="AA31" s="6">
        <f t="shared" si="9"/>
        <v>-0.22393200257007609</v>
      </c>
      <c r="AB31" s="6">
        <f t="shared" si="9"/>
        <v>0.24703835806146121</v>
      </c>
      <c r="AC31" s="6">
        <f t="shared" si="9"/>
        <v>-0.19690181759503275</v>
      </c>
      <c r="AD31" s="6">
        <f t="shared" si="9"/>
        <v>9.4139919622311968E-2</v>
      </c>
      <c r="AE31" s="6">
        <f t="shared" si="9"/>
        <v>2.7639356686651434E-2</v>
      </c>
      <c r="AF31" s="6">
        <f t="shared" si="9"/>
        <v>-0.13226880315394746</v>
      </c>
      <c r="AG31" s="6">
        <f t="shared" si="9"/>
        <v>0.19128147930502754</v>
      </c>
      <c r="AH31" s="6">
        <f t="shared" si="9"/>
        <v>-0.19122900297100293</v>
      </c>
      <c r="AI31" s="6">
        <f t="shared" si="9"/>
        <v>0.13629525378671659</v>
      </c>
      <c r="AJ31" s="6">
        <f t="shared" si="9"/>
        <v>-4.5844834949197048E-2</v>
      </c>
      <c r="AK31" s="6">
        <f t="shared" si="9"/>
        <v>-5.205525884957389E-2</v>
      </c>
      <c r="AL31" s="6">
        <f t="shared" si="9"/>
        <v>0.12907991163071633</v>
      </c>
      <c r="AM31" s="6">
        <f t="shared" si="9"/>
        <v>-0.164598604364983</v>
      </c>
      <c r="AN31" s="6">
        <f t="shared" si="9"/>
        <v>0.15097473409032605</v>
      </c>
      <c r="AO31" s="6">
        <f t="shared" si="9"/>
        <v>-9.4914591695159228E-2</v>
      </c>
      <c r="AP31" s="6">
        <f t="shared" si="9"/>
        <v>1.4734489038704821E-2</v>
      </c>
      <c r="AQ31" s="6">
        <f t="shared" si="9"/>
        <v>6.5453693163033233E-2</v>
      </c>
      <c r="AR31" s="6">
        <f t="shared" si="9"/>
        <v>-0.12284627486059699</v>
      </c>
      <c r="AS31" s="6">
        <f t="shared" si="9"/>
        <v>0.14229344416808196</v>
      </c>
      <c r="AT31" s="6">
        <f t="shared" si="9"/>
        <v>-0.12016150871014439</v>
      </c>
      <c r="AU31" s="6">
        <f t="shared" si="9"/>
        <v>6.4766751814552159E-2</v>
      </c>
      <c r="AV31" s="6">
        <f t="shared" si="9"/>
        <v>6.5635836447421325E-3</v>
      </c>
      <c r="AW31" s="6">
        <f t="shared" si="9"/>
        <v>-7.2813336720475977E-2</v>
      </c>
      <c r="AX31" s="6">
        <f t="shared" si="9"/>
        <v>0.11537862556915936</v>
      </c>
      <c r="AY31" s="6">
        <f t="shared" si="9"/>
        <v>-0.123204547219609</v>
      </c>
      <c r="AZ31" s="4">
        <f t="shared" si="4"/>
        <v>19.481818206800487</v>
      </c>
      <c r="BA31" s="4">
        <v>-0.54159999999999997</v>
      </c>
      <c r="BB31" s="5">
        <f t="shared" si="5"/>
        <v>1.6520153615599007</v>
      </c>
      <c r="BC31" s="24">
        <v>1.7108428174299135</v>
      </c>
    </row>
    <row r="32" spans="1:55" x14ac:dyDescent="0.3">
      <c r="A32" s="25">
        <v>-0.44159999999999999</v>
      </c>
      <c r="B32" s="6">
        <f t="shared" si="2"/>
        <v>-25.422795989593634</v>
      </c>
      <c r="C32" s="6">
        <f t="shared" si="8"/>
        <v>8.3057450773286909</v>
      </c>
      <c r="D32" s="6">
        <f t="shared" si="8"/>
        <v>-5.2320722236879336E-2</v>
      </c>
      <c r="E32" s="6">
        <f t="shared" si="8"/>
        <v>-2.3940754139233857</v>
      </c>
      <c r="F32" s="6">
        <f t="shared" si="8"/>
        <v>2.7978382702792741</v>
      </c>
      <c r="G32" s="6">
        <f t="shared" si="8"/>
        <v>-2.3728507890488708</v>
      </c>
      <c r="H32" s="6">
        <f t="shared" si="8"/>
        <v>1.6325275845409146</v>
      </c>
      <c r="I32" s="6">
        <f t="shared" si="8"/>
        <v>-0.84368168375999475</v>
      </c>
      <c r="J32" s="6">
        <f t="shared" si="8"/>
        <v>0.15769298950751098</v>
      </c>
      <c r="K32" s="6">
        <f t="shared" si="8"/>
        <v>0.34463227890539427</v>
      </c>
      <c r="L32" s="6">
        <f t="shared" si="8"/>
        <v>-0.63366219095140841</v>
      </c>
      <c r="M32" s="6">
        <f t="shared" si="8"/>
        <v>0.71867817858633332</v>
      </c>
      <c r="N32" s="6">
        <f t="shared" si="8"/>
        <v>-0.63694528180682652</v>
      </c>
      <c r="O32" s="6">
        <f t="shared" si="8"/>
        <v>0.44267423937657269</v>
      </c>
      <c r="P32" s="6">
        <f t="shared" si="8"/>
        <v>-0.19613969794601935</v>
      </c>
      <c r="Q32" s="6">
        <f t="shared" si="8"/>
        <v>-4.6152996912730504E-2</v>
      </c>
      <c r="R32" s="6">
        <f t="shared" si="8"/>
        <v>0.23927077494593357</v>
      </c>
      <c r="S32" s="6">
        <f t="shared" si="8"/>
        <v>-0.35486479756718137</v>
      </c>
      <c r="T32" s="6">
        <f t="shared" si="8"/>
        <v>0.3830245705759377</v>
      </c>
      <c r="U32" s="6">
        <f t="shared" si="8"/>
        <v>-0.33106674458576624</v>
      </c>
      <c r="V32" s="6">
        <f t="shared" si="8"/>
        <v>0.21978373664659503</v>
      </c>
      <c r="W32" s="6">
        <f t="shared" si="8"/>
        <v>-7.8008831560590325E-2</v>
      </c>
      <c r="X32" s="6">
        <f t="shared" si="8"/>
        <v>-6.3465452654296234E-2</v>
      </c>
      <c r="Y32" s="6">
        <f t="shared" si="8"/>
        <v>0.17757174156060845</v>
      </c>
      <c r="Z32" s="6">
        <f t="shared" si="3"/>
        <v>-0.24536824034714547</v>
      </c>
      <c r="AA32" s="6">
        <f t="shared" si="9"/>
        <v>0.25855535116504769</v>
      </c>
      <c r="AB32" s="6">
        <f t="shared" si="9"/>
        <v>-0.21987050240967229</v>
      </c>
      <c r="AC32" s="6">
        <f t="shared" si="9"/>
        <v>0.14149648932672451</v>
      </c>
      <c r="AD32" s="6">
        <f t="shared" si="9"/>
        <v>-4.1941211299117161E-2</v>
      </c>
      <c r="AE32" s="6">
        <f t="shared" si="9"/>
        <v>-5.7931510060332786E-2</v>
      </c>
      <c r="AF32" s="6">
        <f t="shared" si="9"/>
        <v>0.13894974588816239</v>
      </c>
      <c r="AG32" s="6">
        <f t="shared" si="9"/>
        <v>-0.18703684931058109</v>
      </c>
      <c r="AH32" s="6">
        <f t="shared" si="9"/>
        <v>0.19541539467709232</v>
      </c>
      <c r="AI32" s="6">
        <f t="shared" si="9"/>
        <v>-0.16530893249838813</v>
      </c>
      <c r="AJ32" s="6">
        <f t="shared" si="9"/>
        <v>0.10512654201687852</v>
      </c>
      <c r="AK32" s="6">
        <f t="shared" si="9"/>
        <v>-2.8386204109532763E-2</v>
      </c>
      <c r="AL32" s="6">
        <f t="shared" si="9"/>
        <v>-4.9158854915513028E-2</v>
      </c>
      <c r="AM32" s="6">
        <f t="shared" si="9"/>
        <v>0.11261416664923843</v>
      </c>
      <c r="AN32" s="6">
        <f t="shared" si="9"/>
        <v>-0.15067890662732417</v>
      </c>
      <c r="AO32" s="6">
        <f t="shared" si="9"/>
        <v>0.15754326711821859</v>
      </c>
      <c r="AP32" s="6">
        <f t="shared" si="9"/>
        <v>-0.13365094268799493</v>
      </c>
      <c r="AQ32" s="6">
        <f t="shared" si="9"/>
        <v>8.5253542595060877E-2</v>
      </c>
      <c r="AR32" s="6">
        <f t="shared" si="9"/>
        <v>-2.2908558749304919E-2</v>
      </c>
      <c r="AS32" s="6">
        <f t="shared" si="9"/>
        <v>-4.0742506712881717E-2</v>
      </c>
      <c r="AT32" s="6">
        <f t="shared" si="9"/>
        <v>9.3465405248359473E-2</v>
      </c>
      <c r="AU32" s="6">
        <f t="shared" si="9"/>
        <v>-0.12571759757547607</v>
      </c>
      <c r="AV32" s="6">
        <f t="shared" si="9"/>
        <v>0.13231231275938321</v>
      </c>
      <c r="AW32" s="6">
        <f t="shared" si="9"/>
        <v>-0.1131838842425008</v>
      </c>
      <c r="AX32" s="6">
        <f t="shared" si="9"/>
        <v>7.3155811491825984E-2</v>
      </c>
      <c r="AY32" s="6">
        <f t="shared" si="9"/>
        <v>-2.0802352594978556E-2</v>
      </c>
      <c r="AZ32" s="4">
        <f t="shared" si="4"/>
        <v>19.481818206800487</v>
      </c>
      <c r="BA32" s="4">
        <v>-0.44159999999999999</v>
      </c>
      <c r="BB32" s="5">
        <f t="shared" si="5"/>
        <v>1.3664280313019077</v>
      </c>
      <c r="BC32" s="24">
        <v>1.3628291185115136</v>
      </c>
    </row>
    <row r="33" spans="1:55" x14ac:dyDescent="0.3">
      <c r="A33" s="25">
        <v>-0.34160000000000001</v>
      </c>
      <c r="B33" s="6">
        <f t="shared" si="2"/>
        <v>-27.158175113125544</v>
      </c>
      <c r="C33" s="6">
        <f t="shared" si="8"/>
        <v>11.088369822040178</v>
      </c>
      <c r="D33" s="6">
        <f t="shared" si="8"/>
        <v>-2.5386084630370549</v>
      </c>
      <c r="E33" s="6">
        <f t="shared" si="8"/>
        <v>-0.50518670268105326</v>
      </c>
      <c r="F33" s="6">
        <f t="shared" si="8"/>
        <v>1.6101870261164462</v>
      </c>
      <c r="G33" s="6">
        <f t="shared" si="8"/>
        <v>-1.8809501153688466</v>
      </c>
      <c r="H33" s="6">
        <f t="shared" si="8"/>
        <v>1.748471397587013</v>
      </c>
      <c r="I33" s="6">
        <f t="shared" si="8"/>
        <v>-1.4194185438455542</v>
      </c>
      <c r="J33" s="6">
        <f t="shared" si="8"/>
        <v>1.0100380405285414</v>
      </c>
      <c r="K33" s="6">
        <f t="shared" si="8"/>
        <v>-0.59282109630399837</v>
      </c>
      <c r="L33" s="6">
        <f t="shared" si="8"/>
        <v>0.21476528481307772</v>
      </c>
      <c r="M33" s="6">
        <f t="shared" si="8"/>
        <v>9.4699287969969903E-2</v>
      </c>
      <c r="N33" s="6">
        <f t="shared" si="8"/>
        <v>-0.31973970491297721</v>
      </c>
      <c r="O33" s="6">
        <f t="shared" si="8"/>
        <v>0.45561439558760802</v>
      </c>
      <c r="P33" s="6">
        <f t="shared" si="8"/>
        <v>-0.50660963988691465</v>
      </c>
      <c r="Q33" s="6">
        <f t="shared" si="8"/>
        <v>0.4840182420712017</v>
      </c>
      <c r="R33" s="6">
        <f t="shared" si="8"/>
        <v>-0.40404972917510151</v>
      </c>
      <c r="S33" s="6">
        <f t="shared" si="8"/>
        <v>0.28570403146739076</v>
      </c>
      <c r="T33" s="6">
        <f t="shared" si="8"/>
        <v>-0.14870876275518741</v>
      </c>
      <c r="U33" s="6">
        <f t="shared" si="8"/>
        <v>1.1644919916102586E-2</v>
      </c>
      <c r="V33" s="6">
        <f t="shared" si="8"/>
        <v>0.10961781826643978</v>
      </c>
      <c r="W33" s="6">
        <f t="shared" si="8"/>
        <v>-0.20307797733882199</v>
      </c>
      <c r="X33" s="6">
        <f t="shared" si="8"/>
        <v>0.26128870540127808</v>
      </c>
      <c r="Y33" s="6">
        <f t="shared" si="8"/>
        <v>-0.2815533809824049</v>
      </c>
      <c r="Z33" s="6">
        <f t="shared" si="3"/>
        <v>0.26565376734255219</v>
      </c>
      <c r="AA33" s="6">
        <f t="shared" si="9"/>
        <v>-0.21917434250330003</v>
      </c>
      <c r="AB33" s="6">
        <f t="shared" si="9"/>
        <v>0.15051923409829832</v>
      </c>
      <c r="AC33" s="6">
        <f t="shared" si="9"/>
        <v>-6.9740489144615253E-2</v>
      </c>
      <c r="AD33" s="6">
        <f t="shared" si="9"/>
        <v>-1.2693596488027467E-2</v>
      </c>
      <c r="AE33" s="6">
        <f t="shared" si="9"/>
        <v>8.7064163866273914E-2</v>
      </c>
      <c r="AF33" s="6">
        <f t="shared" si="9"/>
        <v>-0.1453903473228588</v>
      </c>
      <c r="AG33" s="6">
        <f t="shared" si="9"/>
        <v>0.18215433979069962</v>
      </c>
      <c r="AH33" s="6">
        <f t="shared" si="9"/>
        <v>-0.19470849497376738</v>
      </c>
      <c r="AI33" s="6">
        <f t="shared" si="9"/>
        <v>0.18334550052664689</v>
      </c>
      <c r="AJ33" s="6">
        <f t="shared" si="9"/>
        <v>-0.15104807161772829</v>
      </c>
      <c r="AK33" s="6">
        <f t="shared" si="9"/>
        <v>0.1029663937355791</v>
      </c>
      <c r="AL33" s="6">
        <f t="shared" si="9"/>
        <v>-4.5696658805328069E-2</v>
      </c>
      <c r="AM33" s="6">
        <f t="shared" si="9"/>
        <v>-1.3549735082411071E-2</v>
      </c>
      <c r="AN33" s="6">
        <f t="shared" si="9"/>
        <v>6.7790637674336351E-2</v>
      </c>
      <c r="AO33" s="6">
        <f t="shared" si="9"/>
        <v>-0.11103971142851246</v>
      </c>
      <c r="AP33" s="6">
        <f t="shared" si="9"/>
        <v>0.13891703562890506</v>
      </c>
      <c r="AQ33" s="6">
        <f t="shared" si="9"/>
        <v>-0.14904663679275107</v>
      </c>
      <c r="AR33" s="6">
        <f t="shared" si="9"/>
        <v>0.14120973762113104</v>
      </c>
      <c r="AS33" s="6">
        <f t="shared" si="9"/>
        <v>-0.11725042113171191</v>
      </c>
      <c r="AT33" s="6">
        <f t="shared" si="9"/>
        <v>8.0757279073244953E-2</v>
      </c>
      <c r="AU33" s="6">
        <f t="shared" si="9"/>
        <v>-3.6567659317964012E-2</v>
      </c>
      <c r="AV33" s="6">
        <f t="shared" si="9"/>
        <v>-9.8419290742877974E-3</v>
      </c>
      <c r="AW33" s="6">
        <f t="shared" si="9"/>
        <v>5.3006387094582205E-2</v>
      </c>
      <c r="AX33" s="6">
        <f t="shared" si="9"/>
        <v>-8.8089698092416097E-2</v>
      </c>
      <c r="AY33" s="6">
        <f t="shared" si="9"/>
        <v>0.11140286561987271</v>
      </c>
      <c r="AZ33" s="4">
        <f t="shared" si="4"/>
        <v>19.481818206800487</v>
      </c>
      <c r="BA33" s="4">
        <v>-0.34160000000000001</v>
      </c>
      <c r="BB33" s="5">
        <f t="shared" si="5"/>
        <v>1.0982874994487055</v>
      </c>
      <c r="BC33" s="24">
        <v>1.0384166867931135</v>
      </c>
    </row>
    <row r="34" spans="1:55" x14ac:dyDescent="0.3">
      <c r="A34" s="25">
        <v>-0.24160000000000001</v>
      </c>
      <c r="B34" s="6">
        <f t="shared" si="2"/>
        <v>-28.622198728226238</v>
      </c>
      <c r="C34" s="6">
        <f t="shared" si="8"/>
        <v>13.428936253321339</v>
      </c>
      <c r="D34" s="6">
        <f t="shared" si="8"/>
        <v>-4.7981298704478634</v>
      </c>
      <c r="E34" s="6">
        <f t="shared" si="8"/>
        <v>1.4634598808664845</v>
      </c>
      <c r="F34" s="6">
        <f t="shared" si="8"/>
        <v>2.8305840724548004E-2</v>
      </c>
      <c r="G34" s="6">
        <f t="shared" si="8"/>
        <v>-0.73197945111588425</v>
      </c>
      <c r="H34" s="6">
        <f t="shared" si="8"/>
        <v>1.04208179172872</v>
      </c>
      <c r="I34" s="6">
        <f t="shared" si="8"/>
        <v>-1.1341551619779682</v>
      </c>
      <c r="J34" s="6">
        <f t="shared" si="8"/>
        <v>1.0980064391427102</v>
      </c>
      <c r="K34" s="6">
        <f t="shared" si="8"/>
        <v>-0.98523748950605183</v>
      </c>
      <c r="L34" s="6">
        <f t="shared" si="8"/>
        <v>0.82849559136755158</v>
      </c>
      <c r="M34" s="6">
        <f t="shared" si="8"/>
        <v>-0.65004813590765675</v>
      </c>
      <c r="N34" s="6">
        <f t="shared" si="8"/>
        <v>0.46588528874884139</v>
      </c>
      <c r="O34" s="6">
        <f t="shared" si="8"/>
        <v>-0.2877952852120807</v>
      </c>
      <c r="P34" s="6">
        <f t="shared" si="8"/>
        <v>0.12446740141905305</v>
      </c>
      <c r="Q34" s="6">
        <f t="shared" si="8"/>
        <v>1.7886794005553375E-2</v>
      </c>
      <c r="R34" s="6">
        <f t="shared" si="8"/>
        <v>-0.13515160889431407</v>
      </c>
      <c r="S34" s="6">
        <f t="shared" si="8"/>
        <v>0.22503968874387945</v>
      </c>
      <c r="T34" s="6">
        <f t="shared" si="8"/>
        <v>-0.28687258757607353</v>
      </c>
      <c r="U34" s="6">
        <f t="shared" si="8"/>
        <v>0.32137475141590427</v>
      </c>
      <c r="V34" s="6">
        <f t="shared" si="8"/>
        <v>-0.33046399373968938</v>
      </c>
      <c r="W34" s="6">
        <f t="shared" si="8"/>
        <v>0.31703206466829514</v>
      </c>
      <c r="X34" s="6">
        <f t="shared" si="8"/>
        <v>-0.28471534542594312</v>
      </c>
      <c r="Y34" s="6">
        <f t="shared" si="8"/>
        <v>0.23765964589102234</v>
      </c>
      <c r="Z34" s="6">
        <f t="shared" si="3"/>
        <v>-0.18028539895780693</v>
      </c>
      <c r="AA34" s="6">
        <f t="shared" si="9"/>
        <v>0.11706070707117529</v>
      </c>
      <c r="AB34" s="6">
        <f t="shared" si="9"/>
        <v>-5.2289990362359873E-2</v>
      </c>
      <c r="AC34" s="6">
        <f t="shared" si="9"/>
        <v>-1.0074395484291315E-2</v>
      </c>
      <c r="AD34" s="6">
        <f t="shared" si="9"/>
        <v>6.6591113609446223E-2</v>
      </c>
      <c r="AE34" s="6">
        <f t="shared" si="9"/>
        <v>-0.11445422784047224</v>
      </c>
      <c r="AF34" s="6">
        <f t="shared" si="9"/>
        <v>0.1515794671532551</v>
      </c>
      <c r="AG34" s="6">
        <f t="shared" si="9"/>
        <v>-0.17665060229221435</v>
      </c>
      <c r="AH34" s="6">
        <f t="shared" si="9"/>
        <v>0.18912600495490212</v>
      </c>
      <c r="AI34" s="6">
        <f t="shared" si="9"/>
        <v>-0.18920726455508952</v>
      </c>
      <c r="AJ34" s="6">
        <f t="shared" si="9"/>
        <v>0.1777734115207234</v>
      </c>
      <c r="AK34" s="6">
        <f t="shared" si="9"/>
        <v>-0.15628575625437971</v>
      </c>
      <c r="AL34" s="6">
        <f t="shared" si="9"/>
        <v>0.12666953047923044</v>
      </c>
      <c r="AM34" s="6">
        <f t="shared" si="9"/>
        <v>-9.1179360738876294E-2</v>
      </c>
      <c r="AN34" s="6">
        <f t="shared" si="9"/>
        <v>5.2256079007068544E-2</v>
      </c>
      <c r="AO34" s="6">
        <f t="shared" si="9"/>
        <v>-1.2382469042651945E-2</v>
      </c>
      <c r="AP34" s="6">
        <f t="shared" si="9"/>
        <v>-2.6054734633824891E-2</v>
      </c>
      <c r="AQ34" s="6">
        <f t="shared" si="9"/>
        <v>6.088991054910519E-2</v>
      </c>
      <c r="AR34" s="6">
        <f t="shared" si="9"/>
        <v>-9.0284933107054599E-2</v>
      </c>
      <c r="AS34" s="6">
        <f t="shared" si="9"/>
        <v>0.11281232357805664</v>
      </c>
      <c r="AT34" s="6">
        <f t="shared" si="9"/>
        <v>-0.12751199565255797</v>
      </c>
      <c r="AU34" s="6">
        <f t="shared" si="9"/>
        <v>0.1339199083686958</v>
      </c>
      <c r="AV34" s="6">
        <f t="shared" si="9"/>
        <v>-0.13206845606512921</v>
      </c>
      <c r="AW34" s="6">
        <f t="shared" si="9"/>
        <v>0.12245989421564829</v>
      </c>
      <c r="AX34" s="6">
        <f t="shared" si="9"/>
        <v>-0.10601544811769768</v>
      </c>
      <c r="AY34" s="6">
        <f t="shared" si="9"/>
        <v>8.4003913252176696E-2</v>
      </c>
      <c r="AZ34" s="4">
        <f t="shared" si="4"/>
        <v>19.481818206800487</v>
      </c>
      <c r="BA34" s="4">
        <v>-0.24160000000000001</v>
      </c>
      <c r="BB34" s="5">
        <f t="shared" si="5"/>
        <v>0.7640992114696985</v>
      </c>
      <c r="BC34" s="24">
        <v>0.72820712227471363</v>
      </c>
    </row>
    <row r="35" spans="1:55" x14ac:dyDescent="0.3">
      <c r="A35" s="25">
        <v>-0.1416</v>
      </c>
      <c r="B35" s="6">
        <f t="shared" si="2"/>
        <v>-29.800238794875494</v>
      </c>
      <c r="C35" s="6">
        <f t="shared" si="8"/>
        <v>15.234133373641482</v>
      </c>
      <c r="D35" s="6">
        <f t="shared" si="8"/>
        <v>-6.6290486265676654</v>
      </c>
      <c r="E35" s="6">
        <f t="shared" si="8"/>
        <v>3.2010583277895095</v>
      </c>
      <c r="F35" s="6">
        <f t="shared" si="8"/>
        <v>-1.5605056016774259</v>
      </c>
      <c r="G35" s="6">
        <f t="shared" si="8"/>
        <v>0.6726926945928926</v>
      </c>
      <c r="H35" s="6">
        <f t="shared" si="8"/>
        <v>-0.1544151637567468</v>
      </c>
      <c r="I35" s="6">
        <f t="shared" si="8"/>
        <v>-0.16092847773598884</v>
      </c>
      <c r="J35" s="6">
        <f t="shared" si="8"/>
        <v>0.35502545506442934</v>
      </c>
      <c r="K35" s="6">
        <f t="shared" si="8"/>
        <v>-0.47183107851171513</v>
      </c>
      <c r="L35" s="6">
        <f t="shared" si="8"/>
        <v>0.53683948891194522</v>
      </c>
      <c r="M35" s="6">
        <f t="shared" si="8"/>
        <v>-0.56579925362846228</v>
      </c>
      <c r="N35" s="6">
        <f t="shared" si="8"/>
        <v>0.56898724294046243</v>
      </c>
      <c r="O35" s="6">
        <f t="shared" si="8"/>
        <v>-0.55344588032292275</v>
      </c>
      <c r="P35" s="6">
        <f t="shared" si="8"/>
        <v>0.52421859123738346</v>
      </c>
      <c r="Q35" s="6">
        <f t="shared" si="8"/>
        <v>-0.48506281375212901</v>
      </c>
      <c r="R35" s="6">
        <f t="shared" si="8"/>
        <v>0.43887681057753036</v>
      </c>
      <c r="S35" s="6">
        <f t="shared" si="8"/>
        <v>-0.38796300881077039</v>
      </c>
      <c r="T35" s="6">
        <f t="shared" si="8"/>
        <v>0.33419459192015011</v>
      </c>
      <c r="U35" s="6">
        <f t="shared" si="8"/>
        <v>-0.27912309221180859</v>
      </c>
      <c r="V35" s="6">
        <f t="shared" si="8"/>
        <v>0.22404910163354799</v>
      </c>
      <c r="W35" s="6">
        <f t="shared" si="8"/>
        <v>-0.17006947118729943</v>
      </c>
      <c r="X35" s="6">
        <f t="shared" si="8"/>
        <v>0.11810930969413834</v>
      </c>
      <c r="Y35" s="6">
        <f t="shared" si="8"/>
        <v>-6.8944077653190383E-2</v>
      </c>
      <c r="Z35" s="6">
        <f t="shared" si="3"/>
        <v>2.3215225360205455E-2</v>
      </c>
      <c r="AA35" s="6">
        <f t="shared" si="9"/>
        <v>1.8558335801886303E-2</v>
      </c>
      <c r="AB35" s="6">
        <f t="shared" si="9"/>
        <v>-5.5971386912397933E-2</v>
      </c>
      <c r="AC35" s="6">
        <f t="shared" si="9"/>
        <v>8.8725130132676661E-2</v>
      </c>
      <c r="AD35" s="6">
        <f t="shared" si="9"/>
        <v>-0.11662077448296398</v>
      </c>
      <c r="AE35" s="6">
        <f t="shared" si="9"/>
        <v>0.13955348966625691</v>
      </c>
      <c r="AF35" s="6">
        <f t="shared" si="9"/>
        <v>-0.15750640006216357</v>
      </c>
      <c r="AG35" s="6">
        <f t="shared" si="9"/>
        <v>0.17054440702792878</v>
      </c>
      <c r="AH35" s="6">
        <f t="shared" si="9"/>
        <v>-0.17880771273953175</v>
      </c>
      <c r="AI35" s="6">
        <f t="shared" si="9"/>
        <v>0.18250498226288206</v>
      </c>
      <c r="AJ35" s="6">
        <f t="shared" si="9"/>
        <v>-0.18190612846443183</v>
      </c>
      <c r="AK35" s="6">
        <f t="shared" si="9"/>
        <v>0.17733474081294484</v>
      </c>
      <c r="AL35" s="6">
        <f t="shared" si="9"/>
        <v>-0.16916020682702745</v>
      </c>
      <c r="AM35" s="6">
        <f t="shared" si="9"/>
        <v>0.1577895957573073</v>
      </c>
      <c r="AN35" s="6">
        <f t="shared" si="9"/>
        <v>-0.14365938935846795</v>
      </c>
      <c r="AO35" s="6">
        <f t="shared" si="9"/>
        <v>0.12722715522905342</v>
      </c>
      <c r="AP35" s="6">
        <f t="shared" si="9"/>
        <v>-0.1089632648527204</v>
      </c>
      <c r="AQ35" s="6">
        <f t="shared" si="9"/>
        <v>8.9342761678418869E-2</v>
      </c>
      <c r="AR35" s="6">
        <f t="shared" si="9"/>
        <v>-6.8837484739924154E-2</v>
      </c>
      <c r="AS35" s="6">
        <f t="shared" si="9"/>
        <v>4.7908550783355312E-2</v>
      </c>
      <c r="AT35" s="6">
        <f t="shared" si="9"/>
        <v>-2.6999292952054815E-2</v>
      </c>
      <c r="AU35" s="6">
        <f t="shared" si="9"/>
        <v>6.5287470570437843E-3</v>
      </c>
      <c r="AV35" s="6">
        <f t="shared" si="9"/>
        <v>1.3114232386796792E-2</v>
      </c>
      <c r="AW35" s="6">
        <f t="shared" si="9"/>
        <v>-3.1576154582639564E-2</v>
      </c>
      <c r="AX35" s="6">
        <f t="shared" si="9"/>
        <v>4.8543313244760147E-2</v>
      </c>
      <c r="AY35" s="6">
        <f t="shared" si="9"/>
        <v>-6.3745398378721174E-2</v>
      </c>
      <c r="AZ35" s="4">
        <f t="shared" si="4"/>
        <v>19.481818206800487</v>
      </c>
      <c r="BA35" s="4">
        <v>-0.1416</v>
      </c>
      <c r="BB35" s="5">
        <f t="shared" si="5"/>
        <v>0.38976492696079745</v>
      </c>
      <c r="BC35" s="24">
        <v>0.4252020249563136</v>
      </c>
    </row>
    <row r="36" spans="1:55" x14ac:dyDescent="0.3">
      <c r="A36" s="25">
        <v>-4.1599999999999901E-2</v>
      </c>
      <c r="B36" s="6">
        <f t="shared" si="2"/>
        <v>-30.680524726135626</v>
      </c>
      <c r="C36" s="6">
        <f t="shared" si="8"/>
        <v>16.431993670442374</v>
      </c>
      <c r="D36" s="6">
        <f t="shared" si="8"/>
        <v>-7.8678142118482874</v>
      </c>
      <c r="E36" s="6">
        <f t="shared" si="8"/>
        <v>4.4332800496435532</v>
      </c>
      <c r="F36" s="6">
        <f t="shared" si="8"/>
        <v>-2.7672508482532554</v>
      </c>
      <c r="G36" s="6">
        <f t="shared" si="8"/>
        <v>1.8423739285900318</v>
      </c>
      <c r="H36" s="6">
        <f t="shared" si="8"/>
        <v>-1.2782882549239265</v>
      </c>
      <c r="I36" s="6">
        <f t="shared" si="8"/>
        <v>0.90991526165059045</v>
      </c>
      <c r="J36" s="6">
        <f t="shared" si="8"/>
        <v>-0.65663171542695498</v>
      </c>
      <c r="K36" s="6">
        <f t="shared" si="8"/>
        <v>0.47537465010579072</v>
      </c>
      <c r="L36" s="6">
        <f t="shared" si="8"/>
        <v>-0.34147897137045713</v>
      </c>
      <c r="M36" s="6">
        <f t="shared" si="8"/>
        <v>0.24000464184888273</v>
      </c>
      <c r="N36" s="6">
        <f t="shared" si="8"/>
        <v>-0.16147844677102768</v>
      </c>
      <c r="O36" s="6">
        <f t="shared" si="8"/>
        <v>9.9660055155289862E-2</v>
      </c>
      <c r="P36" s="6">
        <f t="shared" si="8"/>
        <v>-5.0303889006418051E-2</v>
      </c>
      <c r="Q36" s="6">
        <f t="shared" si="8"/>
        <v>1.0440410889809709E-2</v>
      </c>
      <c r="R36" s="6">
        <f t="shared" si="8"/>
        <v>2.2057887460524089E-2</v>
      </c>
      <c r="S36" s="6">
        <f t="shared" si="8"/>
        <v>-4.8747672213399595E-2</v>
      </c>
      <c r="T36" s="6">
        <f t="shared" si="8"/>
        <v>7.0789337836091704E-2</v>
      </c>
      <c r="U36" s="6">
        <f t="shared" si="8"/>
        <v>-8.9062367753502791E-2</v>
      </c>
      <c r="V36" s="6">
        <f t="shared" si="8"/>
        <v>0.10424336134210008</v>
      </c>
      <c r="W36" s="6">
        <f t="shared" si="8"/>
        <v>-0.1168599170587914</v>
      </c>
      <c r="X36" s="6">
        <f t="shared" si="8"/>
        <v>0.12732854354770834</v>
      </c>
      <c r="Y36" s="6">
        <f t="shared" si="8"/>
        <v>-0.1359817867205213</v>
      </c>
      <c r="Z36" s="6">
        <f t="shared" si="3"/>
        <v>0.14308793979618264</v>
      </c>
      <c r="AA36" s="6">
        <f t="shared" si="9"/>
        <v>-0.14886556553093608</v>
      </c>
      <c r="AB36" s="6">
        <f t="shared" si="9"/>
        <v>0.15349433367747403</v>
      </c>
      <c r="AC36" s="6">
        <f t="shared" si="9"/>
        <v>-0.1571232040951919</v>
      </c>
      <c r="AD36" s="6">
        <f t="shared" si="9"/>
        <v>0.15987667281115925</v>
      </c>
      <c r="AE36" s="6">
        <f t="shared" si="9"/>
        <v>-0.16185958744753165</v>
      </c>
      <c r="AF36" s="6">
        <f t="shared" ref="AA36:AY46" si="10">SUM(((((8*(POWER(PI(),2))*(POWER(AF$4,2)))-48)*(POWER((-1),AF$4))/(POWER(AF$4,4)))*COS(AF$4*$A36))+(((6*POWER((-1),AF$4))/AF$4)*SIN(AF$4*$A36)))</f>
        <v>0.16316089423697072</v>
      </c>
      <c r="AG36" s="6">
        <f t="shared" si="10"/>
        <v>-0.16385657886177585</v>
      </c>
      <c r="AH36" s="6">
        <f t="shared" si="10"/>
        <v>0.16401199311302397</v>
      </c>
      <c r="AI36" s="6">
        <f t="shared" si="10"/>
        <v>-0.16368370942191207</v>
      </c>
      <c r="AJ36" s="6">
        <f t="shared" si="10"/>
        <v>0.16292100939866802</v>
      </c>
      <c r="AK36" s="6">
        <f t="shared" si="10"/>
        <v>-0.16176708641050572</v>
      </c>
      <c r="AL36" s="6">
        <f t="shared" si="10"/>
        <v>0.16026002306905174</v>
      </c>
      <c r="AM36" s="6">
        <f t="shared" si="10"/>
        <v>-0.15843359030123974</v>
      </c>
      <c r="AN36" s="6">
        <f t="shared" si="10"/>
        <v>0.15631790406688678</v>
      </c>
      <c r="AO36" s="6">
        <f t="shared" si="10"/>
        <v>-0.15393996778953856</v>
      </c>
      <c r="AP36" s="6">
        <f t="shared" si="10"/>
        <v>0.15132412249340599</v>
      </c>
      <c r="AQ36" s="6">
        <f t="shared" si="10"/>
        <v>-0.14849242199172122</v>
      </c>
      <c r="AR36" s="6">
        <f t="shared" si="10"/>
        <v>0.14546494689071363</v>
      </c>
      <c r="AS36" s="6">
        <f t="shared" si="10"/>
        <v>-0.14226006839556754</v>
      </c>
      <c r="AT36" s="6">
        <f t="shared" si="10"/>
        <v>0.1388946707363464</v>
      </c>
      <c r="AU36" s="6">
        <f t="shared" si="10"/>
        <v>-0.13538433932903035</v>
      </c>
      <c r="AV36" s="6">
        <f t="shared" si="10"/>
        <v>0.13174352044190094</v>
      </c>
      <c r="AW36" s="6">
        <f t="shared" si="10"/>
        <v>-0.12798565706946394</v>
      </c>
      <c r="AX36" s="6">
        <f t="shared" si="10"/>
        <v>0.12412330486350279</v>
      </c>
      <c r="AY36" s="6">
        <f t="shared" si="10"/>
        <v>-0.12016823128684095</v>
      </c>
      <c r="AZ36" s="4">
        <f t="shared" si="4"/>
        <v>19.481818206800487</v>
      </c>
      <c r="BA36" s="4">
        <v>-4.1599999999999901E-2</v>
      </c>
      <c r="BB36" s="5">
        <f t="shared" si="5"/>
        <v>6.5718525495103819E-2</v>
      </c>
      <c r="BC36" s="24">
        <v>0.12480299483791331</v>
      </c>
    </row>
    <row r="37" spans="1:55" x14ac:dyDescent="0.3">
      <c r="A37" s="25">
        <v>5.8400000000000202E-2</v>
      </c>
      <c r="B37" s="6">
        <f t="shared" si="2"/>
        <v>-31.254260995965318</v>
      </c>
      <c r="C37" s="6">
        <f t="shared" si="8"/>
        <v>16.974762233757318</v>
      </c>
      <c r="D37" s="6">
        <f t="shared" si="8"/>
        <v>-8.4037713859117105</v>
      </c>
      <c r="E37" s="6">
        <f t="shared" si="8"/>
        <v>4.9655843306461911</v>
      </c>
      <c r="F37" s="6">
        <f t="shared" si="8"/>
        <v>-3.2964765759293702</v>
      </c>
      <c r="G37" s="6">
        <f t="shared" si="8"/>
        <v>2.368460943899934</v>
      </c>
      <c r="H37" s="6">
        <f t="shared" si="8"/>
        <v>-1.8009624059954272</v>
      </c>
      <c r="I37" s="6">
        <f t="shared" si="8"/>
        <v>1.4288166131946833</v>
      </c>
      <c r="J37" s="6">
        <f t="shared" si="8"/>
        <v>-1.1713630946485512</v>
      </c>
      <c r="K37" s="6">
        <f t="shared" si="8"/>
        <v>0.98552311771855217</v>
      </c>
      <c r="L37" s="6">
        <f t="shared" si="8"/>
        <v>-0.84662656283601478</v>
      </c>
      <c r="M37" s="6">
        <f t="shared" si="8"/>
        <v>0.73973433979714054</v>
      </c>
      <c r="N37" s="6">
        <f t="shared" si="8"/>
        <v>-0.65537783365919744</v>
      </c>
      <c r="O37" s="6">
        <f t="shared" ref="C37:Y48" si="11">SUM(((((8*(POWER(PI(),2))*(POWER(O$4,2)))-48)*(POWER((-1),O$4))/(POWER(O$4,4)))*COS(O$4*$A37))+(((6*POWER((-1),O$4))/O$4)*SIN(O$4*$A37)))</f>
        <v>0.58732374999497239</v>
      </c>
      <c r="P37" s="6">
        <f t="shared" si="11"/>
        <v>-0.53133530392001682</v>
      </c>
      <c r="Q37" s="6">
        <f t="shared" si="11"/>
        <v>0.48445310373090578</v>
      </c>
      <c r="R37" s="6">
        <f t="shared" si="11"/>
        <v>-0.44456088528768811</v>
      </c>
      <c r="S37" s="6">
        <f t="shared" si="11"/>
        <v>0.41011415528736334</v>
      </c>
      <c r="T37" s="6">
        <f t="shared" si="11"/>
        <v>-0.37996550065531887</v>
      </c>
      <c r="U37" s="6">
        <f t="shared" si="11"/>
        <v>0.35324913740384567</v>
      </c>
      <c r="V37" s="6">
        <f t="shared" si="11"/>
        <v>-0.32930281144145768</v>
      </c>
      <c r="W37" s="6">
        <f t="shared" si="11"/>
        <v>0.30761385469023145</v>
      </c>
      <c r="X37" s="6">
        <f t="shared" si="11"/>
        <v>-0.28778122047478272</v>
      </c>
      <c r="Y37" s="6">
        <f t="shared" si="11"/>
        <v>0.26948830756475561</v>
      </c>
      <c r="Z37" s="6">
        <f t="shared" si="3"/>
        <v>-0.25248320421915738</v>
      </c>
      <c r="AA37" s="6">
        <f t="shared" si="10"/>
        <v>0.23656412193284834</v>
      </c>
      <c r="AB37" s="6">
        <f t="shared" si="10"/>
        <v>-0.22156851515815335</v>
      </c>
      <c r="AC37" s="6">
        <f t="shared" si="10"/>
        <v>0.20736485613918573</v>
      </c>
      <c r="AD37" s="6">
        <f t="shared" si="10"/>
        <v>-0.19384634728292538</v>
      </c>
      <c r="AE37" s="6">
        <f t="shared" si="10"/>
        <v>0.18092606448554316</v>
      </c>
      <c r="AF37" s="6">
        <f t="shared" si="10"/>
        <v>-0.16853316910219321</v>
      </c>
      <c r="AG37" s="6">
        <f t="shared" si="10"/>
        <v>0.15660992628669473</v>
      </c>
      <c r="AH37" s="6">
        <f t="shared" si="10"/>
        <v>-0.14510933770355455</v>
      </c>
      <c r="AI37" s="6">
        <f t="shared" si="10"/>
        <v>0.13399324658473019</v>
      </c>
      <c r="AJ37" s="6">
        <f t="shared" si="10"/>
        <v>-0.12323080903866644</v>
      </c>
      <c r="AK37" s="6">
        <f t="shared" si="10"/>
        <v>0.11279725163600304</v>
      </c>
      <c r="AL37" s="6">
        <f t="shared" si="10"/>
        <v>-0.10267285446651893</v>
      </c>
      <c r="AM37" s="6">
        <f t="shared" si="10"/>
        <v>9.2842113064607407E-2</v>
      </c>
      <c r="AN37" s="6">
        <f t="shared" si="10"/>
        <v>-8.3293043215554363E-2</v>
      </c>
      <c r="AO37" s="6">
        <f t="shared" si="10"/>
        <v>7.4016600654109144E-2</v>
      </c>
      <c r="AP37" s="6">
        <f t="shared" si="10"/>
        <v>-6.5006193741965451E-2</v>
      </c>
      <c r="AQ37" s="6">
        <f t="shared" si="10"/>
        <v>5.6257271858642023E-2</v>
      </c>
      <c r="AR37" s="6">
        <f t="shared" si="10"/>
        <v>-4.7766975820985921E-2</v>
      </c>
      <c r="AS37" s="6">
        <f t="shared" si="10"/>
        <v>3.9533839423315557E-2</v>
      </c>
      <c r="AT37" s="6">
        <f t="shared" si="10"/>
        <v>-3.1557533357030106E-2</v>
      </c>
      <c r="AU37" s="6">
        <f t="shared" si="10"/>
        <v>2.3838644469322212E-2</v>
      </c>
      <c r="AV37" s="6">
        <f t="shared" si="10"/>
        <v>-1.6378484663137932E-2</v>
      </c>
      <c r="AW37" s="6">
        <f t="shared" si="10"/>
        <v>9.1789248058228856E-3</v>
      </c>
      <c r="AX37" s="6">
        <f t="shared" si="10"/>
        <v>-2.2422498634537061E-3</v>
      </c>
      <c r="AY37" s="6">
        <f t="shared" si="10"/>
        <v>-4.4289678414314929E-3</v>
      </c>
      <c r="AZ37" s="4">
        <f t="shared" si="4"/>
        <v>19.481818206800487</v>
      </c>
      <c r="BA37" s="4">
        <v>5.8400000000000202E-2</v>
      </c>
      <c r="BB37" s="5">
        <f t="shared" si="5"/>
        <v>-0.17903730637238269</v>
      </c>
      <c r="BC37" s="24">
        <v>-0.17518836808048702</v>
      </c>
    </row>
    <row r="38" spans="1:55" x14ac:dyDescent="0.3">
      <c r="A38" s="25">
        <v>0.15840000000000001</v>
      </c>
      <c r="B38" s="6">
        <f t="shared" si="2"/>
        <v>-31.515715021208436</v>
      </c>
      <c r="C38" s="6">
        <f t="shared" si="11"/>
        <v>16.840800593772197</v>
      </c>
      <c r="D38" s="6">
        <f t="shared" si="11"/>
        <v>-8.189044690613958</v>
      </c>
      <c r="E38" s="6">
        <f t="shared" si="11"/>
        <v>4.7139320291367097</v>
      </c>
      <c r="F38" s="6">
        <f t="shared" si="11"/>
        <v>-3.018609869178146</v>
      </c>
      <c r="G38" s="6">
        <f t="shared" si="11"/>
        <v>2.0671764104563861</v>
      </c>
      <c r="H38" s="6">
        <f t="shared" si="11"/>
        <v>-1.476615796713429</v>
      </c>
      <c r="I38" s="6">
        <f t="shared" si="11"/>
        <v>1.0810169800282692</v>
      </c>
      <c r="J38" s="6">
        <f t="shared" si="11"/>
        <v>-0.79963023676887213</v>
      </c>
      <c r="K38" s="6">
        <f t="shared" si="11"/>
        <v>0.58958617587359352</v>
      </c>
      <c r="L38" s="6">
        <f t="shared" si="11"/>
        <v>-0.42657407902611183</v>
      </c>
      <c r="M38" s="6">
        <f t="shared" si="11"/>
        <v>0.29609230670747089</v>
      </c>
      <c r="N38" s="6">
        <f t="shared" si="11"/>
        <v>-0.18914715884968306</v>
      </c>
      <c r="O38" s="6">
        <f t="shared" si="11"/>
        <v>9.9991424332912693E-2</v>
      </c>
      <c r="P38" s="6">
        <f t="shared" si="11"/>
        <v>-2.4866456086703403E-2</v>
      </c>
      <c r="Q38" s="6">
        <f t="shared" si="11"/>
        <v>-3.8732009302447357E-2</v>
      </c>
      <c r="R38" s="6">
        <f t="shared" si="11"/>
        <v>9.2500557436401121E-2</v>
      </c>
      <c r="S38" s="6">
        <f t="shared" si="11"/>
        <v>-0.13760991807574979</v>
      </c>
      <c r="T38" s="6">
        <f t="shared" si="11"/>
        <v>0.17488842642377236</v>
      </c>
      <c r="U38" s="6">
        <f t="shared" si="11"/>
        <v>-0.20494465433373124</v>
      </c>
      <c r="V38" s="6">
        <f t="shared" si="11"/>
        <v>0.22825112183790217</v>
      </c>
      <c r="W38" s="6">
        <f t="shared" si="11"/>
        <v>-0.24520227727805796</v>
      </c>
      <c r="X38" s="6">
        <f t="shared" si="11"/>
        <v>0.25615490960627174</v>
      </c>
      <c r="Y38" s="6">
        <f t="shared" si="11"/>
        <v>-0.26145618209967303</v>
      </c>
      <c r="Z38" s="6">
        <f t="shared" si="3"/>
        <v>0.26146267438983872</v>
      </c>
      <c r="AA38" s="6">
        <f t="shared" si="10"/>
        <v>-0.2565527055387804</v>
      </c>
      <c r="AB38" s="6">
        <f t="shared" si="10"/>
        <v>0.24713351052766927</v>
      </c>
      <c r="AC38" s="6">
        <f t="shared" si="10"/>
        <v>-0.2336443961525751</v>
      </c>
      <c r="AD38" s="6">
        <f t="shared" si="10"/>
        <v>0.21655671454640071</v>
      </c>
      <c r="AE38" s="6">
        <f t="shared" si="10"/>
        <v>-0.19637130511274142</v>
      </c>
      <c r="AF38" s="6">
        <f t="shared" si="10"/>
        <v>0.17361393223693411</v>
      </c>
      <c r="AG38" s="6">
        <f t="shared" si="10"/>
        <v>-0.14882916363744281</v>
      </c>
      <c r="AH38" s="6">
        <f t="shared" si="10"/>
        <v>0.12257307770124498</v>
      </c>
      <c r="AI38" s="6">
        <f t="shared" si="10"/>
        <v>-9.540514781003176E-2</v>
      </c>
      <c r="AJ38" s="6">
        <f t="shared" si="10"/>
        <v>6.7879621010362046E-2</v>
      </c>
      <c r="AK38" s="6">
        <f t="shared" si="10"/>
        <v>-4.0536683077388454E-2</v>
      </c>
      <c r="AL38" s="6">
        <f t="shared" si="10"/>
        <v>1.3893679188655431E-2</v>
      </c>
      <c r="AM38" s="6">
        <f t="shared" si="10"/>
        <v>1.1563362821214139E-2</v>
      </c>
      <c r="AN38" s="6">
        <f t="shared" si="10"/>
        <v>-3.5387682496267031E-2</v>
      </c>
      <c r="AO38" s="6">
        <f t="shared" si="10"/>
        <v>5.7179010078401454E-2</v>
      </c>
      <c r="AP38" s="6">
        <f t="shared" si="10"/>
        <v>-7.6589888821679122E-2</v>
      </c>
      <c r="AQ38" s="6">
        <f t="shared" si="10"/>
        <v>9.333094937611057E-2</v>
      </c>
      <c r="AR38" s="6">
        <f t="shared" si="10"/>
        <v>-0.10717501816708207</v>
      </c>
      <c r="AS38" s="6">
        <f t="shared" si="10"/>
        <v>0.11795997173309974</v>
      </c>
      <c r="AT38" s="6">
        <f t="shared" si="10"/>
        <v>-0.12559027979222862</v>
      </c>
      <c r="AU38" s="6">
        <f t="shared" si="10"/>
        <v>0.13003721089714837</v>
      </c>
      <c r="AV38" s="6">
        <f t="shared" si="10"/>
        <v>-0.13133770537285339</v>
      </c>
      <c r="AW38" s="6">
        <f t="shared" si="10"/>
        <v>0.1295919502486173</v>
      </c>
      <c r="AX38" s="6">
        <f t="shared" si="10"/>
        <v>-0.12495971953324352</v>
      </c>
      <c r="AY38" s="6">
        <f t="shared" si="10"/>
        <v>0.11765556989234786</v>
      </c>
      <c r="AZ38" s="4">
        <f t="shared" si="4"/>
        <v>19.481818206800487</v>
      </c>
      <c r="BA38" s="4">
        <v>0.15840000000000001</v>
      </c>
      <c r="BB38" s="5">
        <f t="shared" si="5"/>
        <v>-0.41788766798688926</v>
      </c>
      <c r="BC38" s="24">
        <v>-0.47457046379888645</v>
      </c>
    </row>
    <row r="39" spans="1:55" x14ac:dyDescent="0.3">
      <c r="A39" s="25">
        <v>0.25840000000000002</v>
      </c>
      <c r="B39" s="6">
        <f t="shared" si="2"/>
        <v>-31.462274439669958</v>
      </c>
      <c r="C39" s="6">
        <f t="shared" si="11"/>
        <v>16.035449378332814</v>
      </c>
      <c r="D39" s="6">
        <f t="shared" si="11"/>
        <v>-7.242815022135936</v>
      </c>
      <c r="E39" s="6">
        <f t="shared" si="11"/>
        <v>3.7180535101911998</v>
      </c>
      <c r="F39" s="6">
        <f t="shared" si="11"/>
        <v>-2.0016821887524703</v>
      </c>
      <c r="G39" s="6">
        <f t="shared" si="11"/>
        <v>1.0437676838016723</v>
      </c>
      <c r="H39" s="6">
        <f t="shared" si="11"/>
        <v>-0.45779370547882575</v>
      </c>
      <c r="I39" s="6">
        <f t="shared" si="11"/>
        <v>7.7486952613128657E-2</v>
      </c>
      <c r="J39" s="6">
        <f t="shared" si="11"/>
        <v>0.1772468424362259</v>
      </c>
      <c r="K39" s="6">
        <f t="shared" si="11"/>
        <v>-0.34841357705358961</v>
      </c>
      <c r="L39" s="6">
        <f t="shared" si="11"/>
        <v>0.45964186734215057</v>
      </c>
      <c r="M39" s="6">
        <f t="shared" si="11"/>
        <v>-0.52515165304446532</v>
      </c>
      <c r="N39" s="6">
        <f t="shared" si="11"/>
        <v>0.55418454679927953</v>
      </c>
      <c r="O39" s="6">
        <f t="shared" si="11"/>
        <v>-0.55333323657819089</v>
      </c>
      <c r="P39" s="6">
        <f t="shared" si="11"/>
        <v>0.52781733688208443</v>
      </c>
      <c r="Q39" s="6">
        <f t="shared" si="11"/>
        <v>-0.48219119139210481</v>
      </c>
      <c r="R39" s="6">
        <f t="shared" si="11"/>
        <v>0.42072451019779367</v>
      </c>
      <c r="S39" s="6">
        <f t="shared" si="11"/>
        <v>-0.34758363201265463</v>
      </c>
      <c r="T39" s="6">
        <f t="shared" si="11"/>
        <v>0.26688629339935699</v>
      </c>
      <c r="U39" s="6">
        <f t="shared" si="11"/>
        <v>-0.18267499826738623</v>
      </c>
      <c r="V39" s="6">
        <f t="shared" si="11"/>
        <v>9.8839431980633288E-2</v>
      </c>
      <c r="W39" s="6">
        <f t="shared" si="11"/>
        <v>-1.9010226426847465E-2</v>
      </c>
      <c r="X39" s="6">
        <f t="shared" si="11"/>
        <v>-5.3558527532736461E-2</v>
      </c>
      <c r="Y39" s="6">
        <f t="shared" si="11"/>
        <v>0.11610398357465679</v>
      </c>
      <c r="Z39" s="6">
        <f t="shared" si="3"/>
        <v>-0.16645510036333441</v>
      </c>
      <c r="AA39" s="6">
        <f t="shared" si="10"/>
        <v>0.20311013411226353</v>
      </c>
      <c r="AB39" s="6">
        <f t="shared" si="10"/>
        <v>-0.22528452929573792</v>
      </c>
      <c r="AC39" s="6">
        <f t="shared" si="10"/>
        <v>0.23292508351480271</v>
      </c>
      <c r="AD39" s="6">
        <f t="shared" si="10"/>
        <v>-0.22668867313066771</v>
      </c>
      <c r="AE39" s="6">
        <f t="shared" si="10"/>
        <v>0.20788617273295759</v>
      </c>
      <c r="AF39" s="6">
        <f t="shared" si="10"/>
        <v>-0.17839439544797422</v>
      </c>
      <c r="AG39" s="6">
        <f t="shared" si="10"/>
        <v>0.1405408268036277</v>
      </c>
      <c r="AH39" s="6">
        <f t="shared" si="10"/>
        <v>-9.6967531427338258E-2</v>
      </c>
      <c r="AI39" s="6">
        <f t="shared" si="10"/>
        <v>5.0481802346298905E-2</v>
      </c>
      <c r="AJ39" s="6">
        <f t="shared" si="10"/>
        <v>-3.9018410131693854E-3</v>
      </c>
      <c r="AK39" s="6">
        <f t="shared" si="10"/>
        <v>-4.0094028196167725E-2</v>
      </c>
      <c r="AL39" s="6">
        <f t="shared" si="10"/>
        <v>7.9106394945574157E-2</v>
      </c>
      <c r="AM39" s="6">
        <f t="shared" si="10"/>
        <v>-0.11113460633007236</v>
      </c>
      <c r="AN39" s="6">
        <f t="shared" si="10"/>
        <v>0.13467116700519149</v>
      </c>
      <c r="AO39" s="6">
        <f t="shared" si="10"/>
        <v>-0.14876599102419683</v>
      </c>
      <c r="AP39" s="6">
        <f t="shared" si="10"/>
        <v>0.15305759805601027</v>
      </c>
      <c r="AQ39" s="6">
        <f t="shared" si="10"/>
        <v>-0.1477702876539215</v>
      </c>
      <c r="AR39" s="6">
        <f t="shared" si="10"/>
        <v>0.13367829291903266</v>
      </c>
      <c r="AS39" s="6">
        <f t="shared" si="10"/>
        <v>-0.1120397927339303</v>
      </c>
      <c r="AT39" s="6">
        <f t="shared" si="10"/>
        <v>8.4505340216107533E-2</v>
      </c>
      <c r="AU39" s="6">
        <f t="shared" si="10"/>
        <v>-5.3006648064727019E-2</v>
      </c>
      <c r="AV39" s="6">
        <f t="shared" si="10"/>
        <v>1.9632681926844316E-2</v>
      </c>
      <c r="AW39" s="6">
        <f t="shared" si="10"/>
        <v>1.3499403011554792E-2</v>
      </c>
      <c r="AX39" s="6">
        <f t="shared" si="10"/>
        <v>-4.4370816881596706E-2</v>
      </c>
      <c r="AY39" s="6">
        <f t="shared" si="10"/>
        <v>7.117784001659995E-2</v>
      </c>
      <c r="AZ39" s="4">
        <f t="shared" si="4"/>
        <v>19.481818206800487</v>
      </c>
      <c r="BA39" s="4">
        <v>0.25840000000000002</v>
      </c>
      <c r="BB39" s="5">
        <f t="shared" si="5"/>
        <v>-0.7290633579496486</v>
      </c>
      <c r="BC39" s="24">
        <v>-0.77074169231728651</v>
      </c>
    </row>
    <row r="40" spans="1:55" x14ac:dyDescent="0.3">
      <c r="A40" s="25">
        <v>0.3584</v>
      </c>
      <c r="B40" s="6">
        <f t="shared" si="2"/>
        <v>-31.094473211975508</v>
      </c>
      <c r="C40" s="6">
        <f t="shared" si="11"/>
        <v>14.590815398966022</v>
      </c>
      <c r="D40" s="6">
        <f t="shared" si="11"/>
        <v>-5.6496062586531295</v>
      </c>
      <c r="E40" s="6">
        <f t="shared" si="11"/>
        <v>2.1351760945685352</v>
      </c>
      <c r="F40" s="6">
        <f t="shared" si="11"/>
        <v>-0.49467289741329734</v>
      </c>
      <c r="G40" s="6">
        <f t="shared" si="11"/>
        <v>-0.34425912418977744</v>
      </c>
      <c r="H40" s="6">
        <f t="shared" si="11"/>
        <v>0.77633591866643648</v>
      </c>
      <c r="I40" s="6">
        <f t="shared" si="11"/>
        <v>-0.97304562048340382</v>
      </c>
      <c r="J40" s="6">
        <f t="shared" si="11"/>
        <v>1.019987044974588</v>
      </c>
      <c r="K40" s="6">
        <f t="shared" si="11"/>
        <v>-0.96608349402923599</v>
      </c>
      <c r="L40" s="6">
        <f t="shared" si="11"/>
        <v>0.84355761556853048</v>
      </c>
      <c r="M40" s="6">
        <f t="shared" si="11"/>
        <v>-0.67667785422128213</v>
      </c>
      <c r="N40" s="6">
        <f t="shared" si="11"/>
        <v>0.48563459307099327</v>
      </c>
      <c r="O40" s="6">
        <f t="shared" si="11"/>
        <v>-0.28808836291878914</v>
      </c>
      <c r="P40" s="6">
        <f t="shared" si="11"/>
        <v>9.953909889217924E-2</v>
      </c>
      <c r="Q40" s="6">
        <f t="shared" si="11"/>
        <v>6.6891514195524693E-2</v>
      </c>
      <c r="R40" s="6">
        <f t="shared" si="11"/>
        <v>-0.200916630944735</v>
      </c>
      <c r="S40" s="6">
        <f t="shared" si="11"/>
        <v>0.29555337662436221</v>
      </c>
      <c r="T40" s="6">
        <f t="shared" si="11"/>
        <v>-0.3474515348135403</v>
      </c>
      <c r="U40" s="6">
        <f t="shared" si="11"/>
        <v>0.3569838996241862</v>
      </c>
      <c r="V40" s="6">
        <f t="shared" si="11"/>
        <v>-0.32804852627047271</v>
      </c>
      <c r="W40" s="6">
        <f t="shared" si="11"/>
        <v>0.26757735626101159</v>
      </c>
      <c r="X40" s="6">
        <f t="shared" si="11"/>
        <v>-0.1847853843460367</v>
      </c>
      <c r="Y40" s="6">
        <f t="shared" si="11"/>
        <v>9.0227486425161638E-2</v>
      </c>
      <c r="Z40" s="6">
        <f t="shared" si="3"/>
        <v>5.2462074727796654E-3</v>
      </c>
      <c r="AA40" s="6">
        <f t="shared" si="10"/>
        <v>-9.1532873693333849E-2</v>
      </c>
      <c r="AB40" s="6">
        <f t="shared" si="10"/>
        <v>0.1602134233997369</v>
      </c>
      <c r="AC40" s="6">
        <f t="shared" si="10"/>
        <v>-0.205290038626945</v>
      </c>
      <c r="AD40" s="6">
        <f t="shared" si="10"/>
        <v>0.22365372169989606</v>
      </c>
      <c r="AE40" s="6">
        <f t="shared" si="10"/>
        <v>-0.21524019719248286</v>
      </c>
      <c r="AF40" s="6">
        <f t="shared" si="10"/>
        <v>0.18286628997071108</v>
      </c>
      <c r="AG40" s="6">
        <f t="shared" si="10"/>
        <v>-0.13177318273043073</v>
      </c>
      <c r="AH40" s="6">
        <f t="shared" si="10"/>
        <v>6.8933873543752439E-2</v>
      </c>
      <c r="AI40" s="6">
        <f t="shared" si="10"/>
        <v>-2.2062827230793225E-3</v>
      </c>
      <c r="AJ40" s="6">
        <f t="shared" si="10"/>
        <v>-6.0571810791306087E-2</v>
      </c>
      <c r="AK40" s="6">
        <f t="shared" si="10"/>
        <v>0.11244599753669246</v>
      </c>
      <c r="AL40" s="6">
        <f t="shared" si="10"/>
        <v>-0.14807395131233037</v>
      </c>
      <c r="AM40" s="6">
        <f t="shared" si="10"/>
        <v>0.16424440774559945</v>
      </c>
      <c r="AN40" s="6">
        <f t="shared" si="10"/>
        <v>-0.16013661865053416</v>
      </c>
      <c r="AO40" s="6">
        <f t="shared" si="10"/>
        <v>0.13730087199043775</v>
      </c>
      <c r="AP40" s="6">
        <f t="shared" si="10"/>
        <v>-9.9372456301238185E-2</v>
      </c>
      <c r="AQ40" s="6">
        <f t="shared" si="10"/>
        <v>5.1561015813815607E-2</v>
      </c>
      <c r="AR40" s="6">
        <f t="shared" si="10"/>
        <v>1.8719913056464144E-5</v>
      </c>
      <c r="AS40" s="6">
        <f t="shared" si="10"/>
        <v>-4.9092949627687565E-2</v>
      </c>
      <c r="AT40" s="6">
        <f t="shared" si="10"/>
        <v>8.996353829817974E-2</v>
      </c>
      <c r="AU40" s="6">
        <f t="shared" si="10"/>
        <v>-0.11814755184751581</v>
      </c>
      <c r="AV40" s="6">
        <f t="shared" si="10"/>
        <v>0.13085125999432207</v>
      </c>
      <c r="AW40" s="6">
        <f t="shared" si="10"/>
        <v>-0.12722958216751648</v>
      </c>
      <c r="AX40" s="6">
        <f t="shared" si="10"/>
        <v>0.1084083071536401</v>
      </c>
      <c r="AY40" s="6">
        <f t="shared" si="10"/>
        <v>-7.7274646581026937E-2</v>
      </c>
      <c r="AZ40" s="4">
        <f t="shared" si="4"/>
        <v>19.481818206800487</v>
      </c>
      <c r="BA40" s="4">
        <v>0.3584</v>
      </c>
      <c r="BB40" s="5">
        <f t="shared" si="5"/>
        <v>-1.0882458033339972</v>
      </c>
      <c r="BC40" s="24">
        <v>-1.0587004536356863</v>
      </c>
    </row>
    <row r="41" spans="1:55" x14ac:dyDescent="0.3">
      <c r="A41" s="25">
        <v>0.45839999999999997</v>
      </c>
      <c r="B41" s="6">
        <f t="shared" si="2"/>
        <v>-30.415986286413286</v>
      </c>
      <c r="C41" s="6">
        <f t="shared" si="11"/>
        <v>12.564491653623021</v>
      </c>
      <c r="D41" s="6">
        <f t="shared" si="11"/>
        <v>-3.5517349940315257</v>
      </c>
      <c r="E41" s="6">
        <f t="shared" si="11"/>
        <v>0.21520132187778662</v>
      </c>
      <c r="F41" s="6">
        <f t="shared" si="11"/>
        <v>1.1334495715330797</v>
      </c>
      <c r="G41" s="6">
        <f t="shared" si="11"/>
        <v>-1.6120263157045478</v>
      </c>
      <c r="H41" s="6">
        <f t="shared" si="11"/>
        <v>1.6453426296795259</v>
      </c>
      <c r="I41" s="6">
        <f t="shared" si="11"/>
        <v>-1.4333417771964552</v>
      </c>
      <c r="J41" s="6">
        <f t="shared" si="11"/>
        <v>1.0908213868900591</v>
      </c>
      <c r="K41" s="6">
        <f t="shared" si="11"/>
        <v>-0.69554070191670159</v>
      </c>
      <c r="L41" s="6">
        <f t="shared" si="11"/>
        <v>0.30562705789963707</v>
      </c>
      <c r="M41" s="6">
        <f t="shared" si="11"/>
        <v>3.475271752502973E-2</v>
      </c>
      <c r="N41" s="6">
        <f t="shared" si="11"/>
        <v>-0.29437117722714168</v>
      </c>
      <c r="O41" s="6">
        <f t="shared" si="11"/>
        <v>0.45540212468196201</v>
      </c>
      <c r="P41" s="6">
        <f t="shared" si="11"/>
        <v>-0.51373510225776919</v>
      </c>
      <c r="Q41" s="6">
        <f t="shared" si="11"/>
        <v>0.47828479087106646</v>
      </c>
      <c r="R41" s="6">
        <f t="shared" si="11"/>
        <v>-0.36895050677852392</v>
      </c>
      <c r="S41" s="6">
        <f t="shared" si="11"/>
        <v>0.21328293948731503</v>
      </c>
      <c r="T41" s="6">
        <f t="shared" si="11"/>
        <v>-4.2231381007499208E-2</v>
      </c>
      <c r="U41" s="6">
        <f t="shared" si="11"/>
        <v>-0.11444044278634891</v>
      </c>
      <c r="V41" s="6">
        <f t="shared" si="11"/>
        <v>0.232388609234111</v>
      </c>
      <c r="W41" s="6">
        <f t="shared" si="11"/>
        <v>-0.29592891979682645</v>
      </c>
      <c r="X41" s="6">
        <f t="shared" si="11"/>
        <v>0.29979466887821726</v>
      </c>
      <c r="Y41" s="6">
        <f t="shared" si="11"/>
        <v>-0.2491703464926508</v>
      </c>
      <c r="Z41" s="6">
        <f t="shared" si="3"/>
        <v>0.15804916911802994</v>
      </c>
      <c r="AA41" s="6">
        <f t="shared" si="10"/>
        <v>-4.6243154049547291E-2</v>
      </c>
      <c r="AB41" s="6">
        <f t="shared" si="10"/>
        <v>-6.4404456450034925E-2</v>
      </c>
      <c r="AC41" s="6">
        <f t="shared" si="10"/>
        <v>0.15393263790727588</v>
      </c>
      <c r="AD41" s="6">
        <f t="shared" si="10"/>
        <v>-0.20762814137054875</v>
      </c>
      <c r="AE41" s="6">
        <f t="shared" si="10"/>
        <v>0.218286187641759</v>
      </c>
      <c r="AF41" s="6">
        <f t="shared" si="10"/>
        <v>-0.18702188077163281</v>
      </c>
      <c r="AG41" s="6">
        <f t="shared" si="10"/>
        <v>0.12255613301564514</v>
      </c>
      <c r="AH41" s="6">
        <f t="shared" si="10"/>
        <v>-3.9174079744484641E-2</v>
      </c>
      <c r="AI41" s="6">
        <f t="shared" si="10"/>
        <v>-4.6215742048314482E-2</v>
      </c>
      <c r="AJ41" s="6">
        <f t="shared" si="10"/>
        <v>0.11734759556683222</v>
      </c>
      <c r="AK41" s="6">
        <f t="shared" si="10"/>
        <v>-0.16157976115206768</v>
      </c>
      <c r="AL41" s="6">
        <f t="shared" si="10"/>
        <v>0.17205665066137157</v>
      </c>
      <c r="AM41" s="6">
        <f t="shared" si="10"/>
        <v>-0.14868944044847829</v>
      </c>
      <c r="AN41" s="6">
        <f t="shared" si="10"/>
        <v>9.7825522122411648E-2</v>
      </c>
      <c r="AO41" s="6">
        <f t="shared" si="10"/>
        <v>-3.0725687206925471E-2</v>
      </c>
      <c r="AP41" s="6">
        <f t="shared" si="10"/>
        <v>-3.8814263040445121E-2</v>
      </c>
      <c r="AQ41" s="6">
        <f t="shared" si="10"/>
        <v>9.7213595729837565E-2</v>
      </c>
      <c r="AR41" s="6">
        <f t="shared" si="10"/>
        <v>-0.13369329877034153</v>
      </c>
      <c r="AS41" s="6">
        <f t="shared" si="10"/>
        <v>0.14221554694349672</v>
      </c>
      <c r="AT41" s="6">
        <f t="shared" si="10"/>
        <v>-0.12243321216648027</v>
      </c>
      <c r="AU41" s="6">
        <f t="shared" si="10"/>
        <v>7.9507741046505848E-2</v>
      </c>
      <c r="AV41" s="6">
        <f t="shared" si="10"/>
        <v>-2.2874826374374255E-2</v>
      </c>
      <c r="AW41" s="6">
        <f t="shared" si="10"/>
        <v>-3.5764321217720975E-2</v>
      </c>
      <c r="AX41" s="6">
        <f t="shared" si="10"/>
        <v>8.4809797346227678E-2</v>
      </c>
      <c r="AY41" s="6">
        <f t="shared" si="10"/>
        <v>-0.11501763027674465</v>
      </c>
      <c r="AZ41" s="4">
        <f t="shared" si="4"/>
        <v>19.481818206800487</v>
      </c>
      <c r="BA41" s="4">
        <v>0.45839999999999997</v>
      </c>
      <c r="BB41" s="5">
        <f t="shared" si="5"/>
        <v>-1.3932795906167286</v>
      </c>
      <c r="BC41" s="24">
        <v>-1.3310451477540863</v>
      </c>
    </row>
    <row r="42" spans="1:55" x14ac:dyDescent="0.3">
      <c r="A42" s="25">
        <v>0.55840000000000001</v>
      </c>
      <c r="B42" s="6">
        <f t="shared" si="2"/>
        <v>-29.433592880065557</v>
      </c>
      <c r="C42" s="6">
        <f t="shared" si="11"/>
        <v>10.037261275596293</v>
      </c>
      <c r="D42" s="6">
        <f t="shared" si="11"/>
        <v>-1.1365978203521365</v>
      </c>
      <c r="E42" s="6">
        <f t="shared" si="11"/>
        <v>-1.738749007689558</v>
      </c>
      <c r="F42" s="6">
        <f t="shared" si="11"/>
        <v>2.4840640549323885</v>
      </c>
      <c r="G42" s="6">
        <f t="shared" si="11"/>
        <v>-2.3166663368554148</v>
      </c>
      <c r="H42" s="6">
        <f t="shared" si="11"/>
        <v>1.740518992766565</v>
      </c>
      <c r="I42" s="6">
        <f t="shared" si="11"/>
        <v>-1.0241920454373163</v>
      </c>
      <c r="J42" s="6">
        <f t="shared" si="11"/>
        <v>0.33614385041279576</v>
      </c>
      <c r="K42" s="6">
        <f t="shared" si="11"/>
        <v>0.21447900388775942</v>
      </c>
      <c r="L42" s="6">
        <f t="shared" si="11"/>
        <v>-0.56629511943655941</v>
      </c>
      <c r="M42" s="6">
        <f t="shared" si="11"/>
        <v>0.70186368758994599</v>
      </c>
      <c r="N42" s="6">
        <f t="shared" si="11"/>
        <v>-0.64312248324919574</v>
      </c>
      <c r="O42" s="6">
        <f t="shared" si="11"/>
        <v>0.44289515892457371</v>
      </c>
      <c r="P42" s="6">
        <f t="shared" si="11"/>
        <v>-0.1722194659565513</v>
      </c>
      <c r="Q42" s="6">
        <f t="shared" si="11"/>
        <v>-9.4822889030338614E-2</v>
      </c>
      <c r="R42" s="6">
        <f t="shared" si="11"/>
        <v>0.29599111387664834</v>
      </c>
      <c r="S42" s="6">
        <f t="shared" si="11"/>
        <v>-0.39247003785199586</v>
      </c>
      <c r="T42" s="6">
        <f t="shared" si="11"/>
        <v>0.3747574645614643</v>
      </c>
      <c r="U42" s="6">
        <f t="shared" si="11"/>
        <v>-0.26173584314699949</v>
      </c>
      <c r="V42" s="6">
        <f t="shared" si="11"/>
        <v>9.3407558020033962E-2</v>
      </c>
      <c r="W42" s="6">
        <f t="shared" si="11"/>
        <v>8.0731643596188563E-2</v>
      </c>
      <c r="X42" s="6">
        <f t="shared" si="11"/>
        <v>-0.21470661401612509</v>
      </c>
      <c r="Y42" s="6">
        <f t="shared" si="11"/>
        <v>0.27724580878066918</v>
      </c>
      <c r="Z42" s="6">
        <f t="shared" si="3"/>
        <v>-0.25848637303559413</v>
      </c>
      <c r="AA42" s="6">
        <f t="shared" si="10"/>
        <v>0.17078335094406333</v>
      </c>
      <c r="AB42" s="6">
        <f t="shared" si="10"/>
        <v>-4.3760873603281264E-2</v>
      </c>
      <c r="AC42" s="6">
        <f t="shared" si="10"/>
        <v>-8.4787502161644643E-2</v>
      </c>
      <c r="AD42" s="6">
        <f t="shared" si="10"/>
        <v>0.17954275665723957</v>
      </c>
      <c r="AE42" s="6">
        <f t="shared" si="10"/>
        <v>-0.2169631785612337</v>
      </c>
      <c r="AF42" s="6">
        <f t="shared" si="10"/>
        <v>0.1908539799276022</v>
      </c>
      <c r="AG42" s="6">
        <f t="shared" si="10"/>
        <v>-0.11292111193181971</v>
      </c>
      <c r="AH42" s="6">
        <f t="shared" si="10"/>
        <v>8.4333489611976842E-3</v>
      </c>
      <c r="AI42" s="6">
        <f t="shared" si="10"/>
        <v>9.1568874485137688E-2</v>
      </c>
      <c r="AJ42" s="6">
        <f t="shared" si="10"/>
        <v>-0.15921007042080557</v>
      </c>
      <c r="AK42" s="6">
        <f t="shared" si="10"/>
        <v>0.17735002390806365</v>
      </c>
      <c r="AL42" s="6">
        <f t="shared" si="10"/>
        <v>-0.14376855045146117</v>
      </c>
      <c r="AM42" s="6">
        <f t="shared" si="10"/>
        <v>7.0972685249136025E-2</v>
      </c>
      <c r="AN42" s="6">
        <f t="shared" si="10"/>
        <v>1.8107205282726427E-2</v>
      </c>
      <c r="AO42" s="6">
        <f t="shared" si="10"/>
        <v>-9.7133573111522847E-2</v>
      </c>
      <c r="AP42" s="6">
        <f t="shared" si="10"/>
        <v>0.14399519202661643</v>
      </c>
      <c r="AQ42" s="6">
        <f t="shared" si="10"/>
        <v>-0.14688105038980126</v>
      </c>
      <c r="AR42" s="6">
        <f t="shared" si="10"/>
        <v>0.10714960700653095</v>
      </c>
      <c r="AS42" s="6">
        <f t="shared" si="10"/>
        <v>-3.8322074767703371E-2</v>
      </c>
      <c r="AT42" s="6">
        <f t="shared" si="10"/>
        <v>-3.8346724627156797E-2</v>
      </c>
      <c r="AU42" s="6">
        <f t="shared" si="10"/>
        <v>0.10031356370898863</v>
      </c>
      <c r="AV42" s="6">
        <f t="shared" si="10"/>
        <v>-0.13028448294287376</v>
      </c>
      <c r="AW42" s="6">
        <f t="shared" si="10"/>
        <v>0.1209708986676116</v>
      </c>
      <c r="AX42" s="6">
        <f t="shared" si="10"/>
        <v>-7.6772154647053212E-2</v>
      </c>
      <c r="AY42" s="6">
        <f t="shared" si="10"/>
        <v>1.2022341838821039E-2</v>
      </c>
      <c r="AZ42" s="4">
        <f t="shared" si="4"/>
        <v>19.481818206800487</v>
      </c>
      <c r="BA42" s="4">
        <v>0.55840000000000001</v>
      </c>
      <c r="BB42" s="5">
        <f t="shared" si="5"/>
        <v>-1.5895666153301704</v>
      </c>
      <c r="BC42" s="24">
        <v>-1.5779741746724865</v>
      </c>
    </row>
    <row r="43" spans="1:55" x14ac:dyDescent="0.3">
      <c r="A43" s="25">
        <v>0.65839999999999999</v>
      </c>
      <c r="B43" s="6">
        <f t="shared" si="2"/>
        <v>-28.15710874311246</v>
      </c>
      <c r="C43" s="6">
        <f t="shared" si="11"/>
        <v>7.1098769649211304</v>
      </c>
      <c r="D43" s="6">
        <f t="shared" si="11"/>
        <v>1.3800682515454734</v>
      </c>
      <c r="E43" s="6">
        <f t="shared" si="11"/>
        <v>-3.4181891005659342</v>
      </c>
      <c r="F43" s="6">
        <f t="shared" si="11"/>
        <v>3.2264930229216273</v>
      </c>
      <c r="G43" s="6">
        <f t="shared" si="11"/>
        <v>-2.2120281556336834</v>
      </c>
      <c r="H43" s="6">
        <f t="shared" si="11"/>
        <v>1.0171020771960233</v>
      </c>
      <c r="I43" s="6">
        <f t="shared" si="11"/>
        <v>6.218837764104479E-3</v>
      </c>
      <c r="J43" s="6">
        <f t="shared" si="11"/>
        <v>-0.67292065051110561</v>
      </c>
      <c r="K43" s="6">
        <f t="shared" si="11"/>
        <v>0.92730770263841789</v>
      </c>
      <c r="L43" s="6">
        <f t="shared" si="11"/>
        <v>-0.81936559741695159</v>
      </c>
      <c r="M43" s="6">
        <f t="shared" si="11"/>
        <v>0.47389878204259078</v>
      </c>
      <c r="N43" s="6">
        <f t="shared" si="11"/>
        <v>-4.9697844635449351E-2</v>
      </c>
      <c r="O43" s="6">
        <f t="shared" si="11"/>
        <v>-0.30484687514844588</v>
      </c>
      <c r="P43" s="6">
        <f t="shared" si="11"/>
        <v>0.4893704560688239</v>
      </c>
      <c r="Q43" s="6">
        <f t="shared" si="11"/>
        <v>-0.47274722474523845</v>
      </c>
      <c r="R43" s="6">
        <f t="shared" si="11"/>
        <v>0.29267685601171223</v>
      </c>
      <c r="S43" s="6">
        <f t="shared" si="11"/>
        <v>-3.4942910078817307E-2</v>
      </c>
      <c r="T43" s="6">
        <f t="shared" si="11"/>
        <v>-0.20007897578638156</v>
      </c>
      <c r="U43" s="6">
        <f t="shared" si="11"/>
        <v>0.33228152905959468</v>
      </c>
      <c r="V43" s="6">
        <f t="shared" si="11"/>
        <v>-0.32670149284730959</v>
      </c>
      <c r="W43" s="6">
        <f t="shared" si="11"/>
        <v>0.20090759488839208</v>
      </c>
      <c r="X43" s="6">
        <f t="shared" si="11"/>
        <v>-1.3686931819963527E-2</v>
      </c>
      <c r="Y43" s="6">
        <f t="shared" si="11"/>
        <v>-0.15970828761737993</v>
      </c>
      <c r="Z43" s="6">
        <f t="shared" si="3"/>
        <v>0.25612024580866904</v>
      </c>
      <c r="AA43" s="6">
        <f t="shared" si="10"/>
        <v>-0.24644151132371223</v>
      </c>
      <c r="AB43" s="6">
        <f t="shared" si="10"/>
        <v>0.14353042992014842</v>
      </c>
      <c r="AC43" s="6">
        <f t="shared" si="10"/>
        <v>5.8447195851104722E-3</v>
      </c>
      <c r="AD43" s="6">
        <f t="shared" si="10"/>
        <v>-0.14102886976907653</v>
      </c>
      <c r="AE43" s="6">
        <f t="shared" si="10"/>
        <v>0.21129764998664899</v>
      </c>
      <c r="AF43" s="6">
        <f t="shared" si="10"/>
        <v>-0.19435595905880401</v>
      </c>
      <c r="AG43" s="6">
        <f t="shared" si="10"/>
        <v>0.10290097922129558</v>
      </c>
      <c r="AH43" s="6">
        <f t="shared" si="10"/>
        <v>2.2518556760955342E-2</v>
      </c>
      <c r="AI43" s="6">
        <f t="shared" si="10"/>
        <v>-0.13084150264921821</v>
      </c>
      <c r="AJ43" s="6">
        <f t="shared" si="10"/>
        <v>0.18083907469237176</v>
      </c>
      <c r="AK43" s="6">
        <f t="shared" si="10"/>
        <v>-0.15650049200116867</v>
      </c>
      <c r="AL43" s="6">
        <f t="shared" si="10"/>
        <v>7.1803573732315787E-2</v>
      </c>
      <c r="AM43" s="6">
        <f t="shared" si="10"/>
        <v>3.6415235528615392E-2</v>
      </c>
      <c r="AN43" s="6">
        <f t="shared" si="10"/>
        <v>-0.12411473262944031</v>
      </c>
      <c r="AO43" s="6">
        <f t="shared" si="10"/>
        <v>0.15770716807899782</v>
      </c>
      <c r="AP43" s="6">
        <f t="shared" si="10"/>
        <v>-0.12672950608466596</v>
      </c>
      <c r="AQ43" s="6">
        <f t="shared" si="10"/>
        <v>4.6806453077139903E-2</v>
      </c>
      <c r="AR43" s="6">
        <f t="shared" si="10"/>
        <v>4.7802351216517019E-2</v>
      </c>
      <c r="AS43" s="6">
        <f t="shared" si="10"/>
        <v>-0.11866028049972489</v>
      </c>
      <c r="AT43" s="6">
        <f t="shared" si="10"/>
        <v>0.13859986911314723</v>
      </c>
      <c r="AU43" s="6">
        <f t="shared" si="10"/>
        <v>-0.10200858035815287</v>
      </c>
      <c r="AV43" s="6">
        <f t="shared" si="10"/>
        <v>2.6102927601605964E-2</v>
      </c>
      <c r="AW43" s="6">
        <f t="shared" si="10"/>
        <v>5.6933982536065783E-2</v>
      </c>
      <c r="AX43" s="6">
        <f t="shared" si="10"/>
        <v>-0.11344771028402456</v>
      </c>
      <c r="AY43" s="6">
        <f t="shared" si="10"/>
        <v>0.12183819779751673</v>
      </c>
      <c r="AZ43" s="4">
        <f t="shared" si="4"/>
        <v>19.481818206800487</v>
      </c>
      <c r="BA43" s="4">
        <v>0.65839999999999999</v>
      </c>
      <c r="BB43" s="5">
        <f t="shared" si="5"/>
        <v>-1.7310702380616156</v>
      </c>
      <c r="BC43" s="24">
        <v>-1.7872859343908865</v>
      </c>
    </row>
    <row r="44" spans="1:55" x14ac:dyDescent="0.3">
      <c r="A44" s="25">
        <v>0.75839999999999996</v>
      </c>
      <c r="B44" s="6">
        <f t="shared" si="2"/>
        <v>-26.599288083100866</v>
      </c>
      <c r="C44" s="6">
        <f t="shared" si="11"/>
        <v>3.8990442961687584</v>
      </c>
      <c r="D44" s="6">
        <f t="shared" si="11"/>
        <v>3.7734569367224671</v>
      </c>
      <c r="E44" s="6">
        <f t="shared" si="11"/>
        <v>-4.5579722936246174</v>
      </c>
      <c r="F44" s="6">
        <f t="shared" si="11"/>
        <v>3.1789639710215605</v>
      </c>
      <c r="G44" s="6">
        <f t="shared" si="11"/>
        <v>-1.3346648991994807</v>
      </c>
      <c r="H44" s="6">
        <f t="shared" si="11"/>
        <v>-0.18467383793815972</v>
      </c>
      <c r="I44" s="6">
        <f t="shared" si="11"/>
        <v>1.0328574574265026</v>
      </c>
      <c r="J44" s="6">
        <f t="shared" si="11"/>
        <v>-1.1727322188385618</v>
      </c>
      <c r="K44" s="6">
        <f t="shared" si="11"/>
        <v>0.78757397608188917</v>
      </c>
      <c r="L44" s="6">
        <f t="shared" si="11"/>
        <v>-0.17702699459920185</v>
      </c>
      <c r="M44" s="6">
        <f t="shared" si="11"/>
        <v>-0.35842189056957796</v>
      </c>
      <c r="N44" s="6">
        <f t="shared" si="11"/>
        <v>0.61653425279889662</v>
      </c>
      <c r="O44" s="6">
        <f t="shared" si="11"/>
        <v>-0.54652306370666981</v>
      </c>
      <c r="P44" s="6">
        <f t="shared" si="11"/>
        <v>0.24145285923886353</v>
      </c>
      <c r="Q44" s="6">
        <f t="shared" si="11"/>
        <v>0.12243087529398017</v>
      </c>
      <c r="R44" s="6">
        <f t="shared" si="11"/>
        <v>-0.37141071688631422</v>
      </c>
      <c r="S44" s="6">
        <f t="shared" si="11"/>
        <v>0.40834824258115493</v>
      </c>
      <c r="T44" s="6">
        <f t="shared" si="11"/>
        <v>-0.24539057372051898</v>
      </c>
      <c r="U44" s="6">
        <f t="shared" si="11"/>
        <v>-1.481997117539588E-2</v>
      </c>
      <c r="V44" s="6">
        <f t="shared" si="11"/>
        <v>0.23646039404181071</v>
      </c>
      <c r="W44" s="6">
        <f t="shared" si="11"/>
        <v>-0.31720033170999457</v>
      </c>
      <c r="X44" s="6">
        <f t="shared" si="11"/>
        <v>0.23294516296919279</v>
      </c>
      <c r="Y44" s="6">
        <f t="shared" si="11"/>
        <v>-4.1710033562850246E-2</v>
      </c>
      <c r="Z44" s="6">
        <f t="shared" si="3"/>
        <v>-0.15189182644825891</v>
      </c>
      <c r="AA44" s="6">
        <f t="shared" si="10"/>
        <v>0.25156256788900694</v>
      </c>
      <c r="AB44" s="6">
        <f t="shared" si="10"/>
        <v>-0.21576285284179475</v>
      </c>
      <c r="AC44" s="6">
        <f t="shared" si="10"/>
        <v>7.3773451425574385E-2</v>
      </c>
      <c r="AD44" s="6">
        <f t="shared" si="10"/>
        <v>9.4323508590967234E-2</v>
      </c>
      <c r="AE44" s="6">
        <f t="shared" si="10"/>
        <v>-0.2014029975109457</v>
      </c>
      <c r="AF44" s="6">
        <f t="shared" si="10"/>
        <v>0.19752176079384878</v>
      </c>
      <c r="AG44" s="6">
        <f t="shared" si="10"/>
        <v>-9.2529908029747865E-2</v>
      </c>
      <c r="AH44" s="6">
        <f t="shared" si="10"/>
        <v>-5.2906587459173475E-2</v>
      </c>
      <c r="AI44" s="6">
        <f t="shared" si="10"/>
        <v>0.16142578206615227</v>
      </c>
      <c r="AJ44" s="6">
        <f t="shared" si="10"/>
        <v>-0.17948585121749724</v>
      </c>
      <c r="AK44" s="6">
        <f t="shared" si="10"/>
        <v>0.10333624281690237</v>
      </c>
      <c r="AL44" s="6">
        <f t="shared" si="10"/>
        <v>2.1975324132865813E-2</v>
      </c>
      <c r="AM44" s="6">
        <f t="shared" si="10"/>
        <v>-0.12857923629892348</v>
      </c>
      <c r="AN44" s="6">
        <f t="shared" si="10"/>
        <v>0.16209058240302165</v>
      </c>
      <c r="AO44" s="6">
        <f t="shared" si="10"/>
        <v>-0.10903499564708188</v>
      </c>
      <c r="AP44" s="6">
        <f t="shared" si="10"/>
        <v>1.6991176329826663E-3</v>
      </c>
      <c r="AQ44" s="6">
        <f t="shared" si="10"/>
        <v>0.10098631013051415</v>
      </c>
      <c r="AR44" s="6">
        <f t="shared" si="10"/>
        <v>-0.14546789258864332</v>
      </c>
      <c r="AS44" s="6">
        <f t="shared" si="10"/>
        <v>0.1112584838845532</v>
      </c>
      <c r="AT44" s="6">
        <f t="shared" si="10"/>
        <v>-2.0085815794257805E-2</v>
      </c>
      <c r="AU44" s="6">
        <f t="shared" si="10"/>
        <v>-7.7432523596539307E-2</v>
      </c>
      <c r="AV44" s="6">
        <f t="shared" si="10"/>
        <v>0.12963772217196864</v>
      </c>
      <c r="AW44" s="6">
        <f t="shared" si="10"/>
        <v>-0.11100756747748183</v>
      </c>
      <c r="AX44" s="6">
        <f t="shared" si="10"/>
        <v>3.4453352145774593E-2</v>
      </c>
      <c r="AY44" s="6">
        <f t="shared" si="10"/>
        <v>5.7099437081467821E-2</v>
      </c>
      <c r="AZ44" s="4">
        <f t="shared" si="4"/>
        <v>19.481818206800487</v>
      </c>
      <c r="BA44" s="4">
        <v>0.75839999999999996</v>
      </c>
      <c r="BB44" s="5">
        <f t="shared" si="5"/>
        <v>-1.8943926892313918</v>
      </c>
      <c r="BC44" s="24">
        <v>-1.9443788269092863</v>
      </c>
    </row>
    <row r="45" spans="1:55" x14ac:dyDescent="0.3">
      <c r="A45" s="25">
        <v>0.85840000000000005</v>
      </c>
      <c r="B45" s="6">
        <f t="shared" si="2"/>
        <v>-24.775696129118572</v>
      </c>
      <c r="C45" s="6">
        <f t="shared" si="11"/>
        <v>0.53276903547392074</v>
      </c>
      <c r="D45" s="6">
        <f t="shared" si="11"/>
        <v>5.8297739520447411</v>
      </c>
      <c r="E45" s="6">
        <f t="shared" si="11"/>
        <v>-4.9781518822410655</v>
      </c>
      <c r="F45" s="6">
        <f t="shared" si="11"/>
        <v>2.3531136687709595</v>
      </c>
      <c r="G45" s="6">
        <f t="shared" si="11"/>
        <v>8.9352050753501722E-3</v>
      </c>
      <c r="H45" s="6">
        <f t="shared" si="11"/>
        <v>-1.2995947614817109</v>
      </c>
      <c r="I45" s="6">
        <f t="shared" si="11"/>
        <v>1.4329786030124931</v>
      </c>
      <c r="J45" s="6">
        <f t="shared" si="11"/>
        <v>-0.78504342417334316</v>
      </c>
      <c r="K45" s="6">
        <f t="shared" si="11"/>
        <v>-7.625163200085E-2</v>
      </c>
      <c r="L45" s="6">
        <f t="shared" si="11"/>
        <v>0.65876808114130325</v>
      </c>
      <c r="M45" s="6">
        <f t="shared" si="11"/>
        <v>-0.73365268488674373</v>
      </c>
      <c r="N45" s="6">
        <f t="shared" si="11"/>
        <v>0.37954222549672989</v>
      </c>
      <c r="O45" s="6">
        <f t="shared" si="11"/>
        <v>0.11906494781382923</v>
      </c>
      <c r="P45" s="6">
        <f t="shared" si="11"/>
        <v>-0.45521105687437846</v>
      </c>
      <c r="Q45" s="6">
        <f t="shared" si="11"/>
        <v>0.46559737859821254</v>
      </c>
      <c r="R45" s="6">
        <f t="shared" si="11"/>
        <v>-0.19696840402540117</v>
      </c>
      <c r="S45" s="6">
        <f t="shared" si="11"/>
        <v>-0.15061224207854107</v>
      </c>
      <c r="T45" s="6">
        <f t="shared" si="11"/>
        <v>0.35874340036736807</v>
      </c>
      <c r="U45" s="6">
        <f t="shared" si="11"/>
        <v>-0.31994696081487306</v>
      </c>
      <c r="V45" s="6">
        <f t="shared" si="11"/>
        <v>8.7949275198997617E-2</v>
      </c>
      <c r="W45" s="6">
        <f t="shared" si="11"/>
        <v>0.17243790432180464</v>
      </c>
      <c r="X45" s="6">
        <f t="shared" si="11"/>
        <v>-0.29672462089902385</v>
      </c>
      <c r="Y45" s="6">
        <f t="shared" si="11"/>
        <v>0.22122172086589958</v>
      </c>
      <c r="Z45" s="6">
        <f t="shared" si="3"/>
        <v>-1.2745911783098016E-2</v>
      </c>
      <c r="AA45" s="6">
        <f t="shared" si="10"/>
        <v>-0.18468075906169246</v>
      </c>
      <c r="AB45" s="6">
        <f t="shared" si="10"/>
        <v>0.24659993915263803</v>
      </c>
      <c r="AC45" s="6">
        <f t="shared" si="10"/>
        <v>-0.14486670774793034</v>
      </c>
      <c r="AD45" s="6">
        <f t="shared" si="10"/>
        <v>-4.2139491894837962E-2</v>
      </c>
      <c r="AE45" s="6">
        <f t="shared" si="10"/>
        <v>0.18747726267070028</v>
      </c>
      <c r="AF45" s="6">
        <f t="shared" si="10"/>
        <v>-0.20034590924720522</v>
      </c>
      <c r="AG45" s="6">
        <f t="shared" si="10"/>
        <v>8.1843268360436372E-2</v>
      </c>
      <c r="AH45" s="6">
        <f t="shared" si="10"/>
        <v>8.1969812860740371E-2</v>
      </c>
      <c r="AI45" s="6">
        <f t="shared" si="10"/>
        <v>-0.18129080602534603</v>
      </c>
      <c r="AJ45" s="6">
        <f t="shared" si="10"/>
        <v>0.15532237660104042</v>
      </c>
      <c r="AK45" s="6">
        <f t="shared" si="10"/>
        <v>-2.8834798915643396E-2</v>
      </c>
      <c r="AL45" s="6">
        <f t="shared" si="10"/>
        <v>-0.10907811992017627</v>
      </c>
      <c r="AM45" s="6">
        <f t="shared" si="10"/>
        <v>0.16698881314150976</v>
      </c>
      <c r="AN45" s="6">
        <f t="shared" si="10"/>
        <v>-0.11121884731649556</v>
      </c>
      <c r="AO45" s="6">
        <f t="shared" si="10"/>
        <v>-1.5167109367784294E-2</v>
      </c>
      <c r="AP45" s="6">
        <f t="shared" si="10"/>
        <v>0.12477611907783526</v>
      </c>
      <c r="AQ45" s="6">
        <f t="shared" si="10"/>
        <v>-0.14582571577464473</v>
      </c>
      <c r="AR45" s="6">
        <f t="shared" si="10"/>
        <v>6.8804470610976859E-2</v>
      </c>
      <c r="AS45" s="6">
        <f t="shared" si="10"/>
        <v>5.027350217635055E-2</v>
      </c>
      <c r="AT45" s="6">
        <f t="shared" si="10"/>
        <v>-0.13013185791800733</v>
      </c>
      <c r="AU45" s="6">
        <f t="shared" si="10"/>
        <v>0.11937708673477307</v>
      </c>
      <c r="AV45" s="6">
        <f t="shared" si="10"/>
        <v>-2.9315003825774649E-2</v>
      </c>
      <c r="AW45" s="6">
        <f t="shared" si="10"/>
        <v>-7.6360081152796758E-2</v>
      </c>
      <c r="AX45" s="6">
        <f t="shared" si="10"/>
        <v>0.12629966297054213</v>
      </c>
      <c r="AY45" s="6">
        <f t="shared" si="10"/>
        <v>-8.9444295575018443E-2</v>
      </c>
      <c r="AZ45" s="4">
        <f t="shared" si="4"/>
        <v>19.481818206800487</v>
      </c>
      <c r="BA45" s="4">
        <v>0.85840000000000005</v>
      </c>
      <c r="BB45" s="5">
        <f t="shared" si="5"/>
        <v>-2.0568532947813161</v>
      </c>
      <c r="BC45" s="24">
        <v>-2.0322512522276863</v>
      </c>
    </row>
    <row r="46" spans="1:55" x14ac:dyDescent="0.3">
      <c r="A46" s="25">
        <v>0.95840000000000003</v>
      </c>
      <c r="B46" s="6">
        <f t="shared" si="2"/>
        <v>-22.704553609170411</v>
      </c>
      <c r="C46" s="6">
        <f t="shared" si="11"/>
        <v>-2.8547460454153453</v>
      </c>
      <c r="D46" s="6">
        <f t="shared" si="11"/>
        <v>7.3653346227621945</v>
      </c>
      <c r="E46" s="6">
        <f t="shared" si="11"/>
        <v>-4.6123907482839606</v>
      </c>
      <c r="F46" s="6">
        <f t="shared" si="11"/>
        <v>0.95113907269698517</v>
      </c>
      <c r="G46" s="6">
        <f t="shared" si="11"/>
        <v>1.3494139851498954</v>
      </c>
      <c r="H46" s="6">
        <f t="shared" si="11"/>
        <v>-1.8032959619721076</v>
      </c>
      <c r="I46" s="6">
        <f t="shared" si="11"/>
        <v>0.96387415671296117</v>
      </c>
      <c r="J46" s="6">
        <f t="shared" si="11"/>
        <v>0.19675058285559083</v>
      </c>
      <c r="K46" s="6">
        <f t="shared" si="11"/>
        <v>-0.86997184127442551</v>
      </c>
      <c r="L46" s="6">
        <f t="shared" si="11"/>
        <v>0.77465628764853123</v>
      </c>
      <c r="M46" s="6">
        <f t="shared" si="11"/>
        <v>-0.1732675883531079</v>
      </c>
      <c r="N46" s="6">
        <f t="shared" si="11"/>
        <v>-0.41348005133100862</v>
      </c>
      <c r="O46" s="6">
        <f t="shared" si="11"/>
        <v>0.58699732170563501</v>
      </c>
      <c r="P46" s="6">
        <f t="shared" si="11"/>
        <v>-0.30585357190184492</v>
      </c>
      <c r="Q46" s="6">
        <f t="shared" si="11"/>
        <v>-0.14962131737358084</v>
      </c>
      <c r="R46" s="6">
        <f t="shared" si="11"/>
        <v>0.42216730570401317</v>
      </c>
      <c r="S46" s="6">
        <f t="shared" si="11"/>
        <v>-0.33990940880782106</v>
      </c>
      <c r="T46" s="6">
        <f t="shared" si="11"/>
        <v>1.3434576680704385E-2</v>
      </c>
      <c r="U46" s="6">
        <f t="shared" si="11"/>
        <v>0.28110980238735978</v>
      </c>
      <c r="V46" s="6">
        <f t="shared" si="11"/>
        <v>-0.32526209201500123</v>
      </c>
      <c r="W46" s="6">
        <f t="shared" si="11"/>
        <v>0.11424053300888995</v>
      </c>
      <c r="X46" s="6">
        <f t="shared" si="11"/>
        <v>0.16245583668753977</v>
      </c>
      <c r="Y46" s="6">
        <f t="shared" si="11"/>
        <v>-0.28454497985261828</v>
      </c>
      <c r="Z46" s="6">
        <f t="shared" si="3"/>
        <v>0.1723144381469657</v>
      </c>
      <c r="AA46" s="6">
        <f t="shared" si="10"/>
        <v>6.4939162918202495E-2</v>
      </c>
      <c r="AB46" s="6">
        <f t="shared" si="10"/>
        <v>-0.23012541758021035</v>
      </c>
      <c r="AC46" s="6">
        <f t="shared" si="10"/>
        <v>0.19921984549286165</v>
      </c>
      <c r="AD46" s="6">
        <f t="shared" si="10"/>
        <v>-1.2492141129872167E-2</v>
      </c>
      <c r="AE46" s="6">
        <f t="shared" si="10"/>
        <v>-0.16979916914342214</v>
      </c>
      <c r="AF46" s="6">
        <f t="shared" si="10"/>
        <v>0.20282351949083813</v>
      </c>
      <c r="AG46" s="6">
        <f t="shared" si="10"/>
        <v>-7.0877506446635985E-2</v>
      </c>
      <c r="AH46" s="6">
        <f t="shared" si="10"/>
        <v>-0.10898047642721972</v>
      </c>
      <c r="AI46" s="6">
        <f t="shared" si="10"/>
        <v>0.18911746512700395</v>
      </c>
      <c r="AJ46" s="6">
        <f t="shared" si="10"/>
        <v>-0.11141950529039001</v>
      </c>
      <c r="AK46" s="6">
        <f t="shared" ref="AA46:AY56" si="12">SUM(((((8*(POWER(PI(),2))*(POWER(AK$4,2)))-48)*(POWER((-1),AK$4))/(POWER(AK$4,4)))*COS(AK$4*$A46))+(((6*POWER((-1),AK$4))/AK$4)*SIN(AK$4*$A46)))</f>
        <v>-5.1620545595090522E-2</v>
      </c>
      <c r="AL46" s="6">
        <f t="shared" si="12"/>
        <v>0.16304298979355986</v>
      </c>
      <c r="AM46" s="6">
        <f t="shared" si="12"/>
        <v>-0.13558628259276412</v>
      </c>
      <c r="AN46" s="6">
        <f t="shared" si="12"/>
        <v>-6.1587419712698377E-4</v>
      </c>
      <c r="AO46" s="6">
        <f t="shared" si="12"/>
        <v>0.12886276421746773</v>
      </c>
      <c r="AP46" s="6">
        <f t="shared" si="12"/>
        <v>-0.14514772003583509</v>
      </c>
      <c r="AQ46" s="6">
        <f t="shared" si="12"/>
        <v>4.1998960246031246E-2</v>
      </c>
      <c r="AR46" s="6">
        <f t="shared" si="12"/>
        <v>9.0314342876082004E-2</v>
      </c>
      <c r="AS46" s="6">
        <f t="shared" si="12"/>
        <v>-0.14215988330000098</v>
      </c>
      <c r="AT46" s="6">
        <f t="shared" si="12"/>
        <v>7.4948313836735808E-2</v>
      </c>
      <c r="AU46" s="6">
        <f t="shared" si="12"/>
        <v>5.0655639725640481E-2</v>
      </c>
      <c r="AV46" s="6">
        <f t="shared" si="12"/>
        <v>-0.12891137473834705</v>
      </c>
      <c r="AW46" s="6">
        <f t="shared" si="12"/>
        <v>9.7644708525035068E-2</v>
      </c>
      <c r="AX46" s="6">
        <f t="shared" si="12"/>
        <v>1.2659546650042961E-2</v>
      </c>
      <c r="AY46" s="6">
        <f t="shared" si="12"/>
        <v>-0.10784336580152484</v>
      </c>
      <c r="AZ46" s="4">
        <f t="shared" si="4"/>
        <v>19.481818206800487</v>
      </c>
      <c r="BA46" s="4">
        <v>0.95840000000000003</v>
      </c>
      <c r="BB46" s="5">
        <f t="shared" si="5"/>
        <v>-2.1005424901824234</v>
      </c>
      <c r="BC46" s="24">
        <v>-2.0315016103460861</v>
      </c>
    </row>
    <row r="47" spans="1:55" x14ac:dyDescent="0.3">
      <c r="A47" s="25">
        <v>1.0584</v>
      </c>
      <c r="B47" s="6">
        <f t="shared" si="2"/>
        <v>-20.406554694687017</v>
      </c>
      <c r="C47" s="6">
        <f t="shared" si="11"/>
        <v>-6.1284514101459902</v>
      </c>
      <c r="D47" s="6">
        <f t="shared" si="11"/>
        <v>8.242971887445071</v>
      </c>
      <c r="E47" s="6">
        <f t="shared" si="11"/>
        <v>-3.5184345324472055</v>
      </c>
      <c r="F47" s="6">
        <f t="shared" si="11"/>
        <v>-0.68370754050805238</v>
      </c>
      <c r="G47" s="6">
        <f t="shared" si="11"/>
        <v>2.2185036373274682</v>
      </c>
      <c r="H47" s="6">
        <f t="shared" si="11"/>
        <v>-1.4588788942703548</v>
      </c>
      <c r="I47" s="6">
        <f t="shared" si="11"/>
        <v>-8.9903419115970551E-2</v>
      </c>
      <c r="J47" s="6">
        <f t="shared" si="11"/>
        <v>1.0296476713055402</v>
      </c>
      <c r="K47" s="6">
        <f t="shared" si="11"/>
        <v>-0.8638439517609966</v>
      </c>
      <c r="L47" s="6">
        <f t="shared" si="11"/>
        <v>4.3994093889317576E-2</v>
      </c>
      <c r="M47" s="6">
        <f t="shared" si="11"/>
        <v>0.60808297640830256</v>
      </c>
      <c r="N47" s="6">
        <f t="shared" si="11"/>
        <v>-0.60075308427808793</v>
      </c>
      <c r="O47" s="6">
        <f t="shared" si="11"/>
        <v>8.0475567506972157E-2</v>
      </c>
      <c r="P47" s="6">
        <f t="shared" si="11"/>
        <v>0.41194060528156173</v>
      </c>
      <c r="Q47" s="6">
        <f t="shared" si="11"/>
        <v>-0.45685963661141649</v>
      </c>
      <c r="R47" s="6">
        <f t="shared" si="11"/>
        <v>8.8180538002326225E-2</v>
      </c>
      <c r="S47" s="6">
        <f t="shared" si="11"/>
        <v>0.30506850145259312</v>
      </c>
      <c r="T47" s="6">
        <f t="shared" si="11"/>
        <v>-0.36742991731956742</v>
      </c>
      <c r="U47" s="6">
        <f t="shared" si="11"/>
        <v>8.5981050843088852E-2</v>
      </c>
      <c r="V47" s="6">
        <f t="shared" si="11"/>
        <v>0.24046532505654961</v>
      </c>
      <c r="W47" s="6">
        <f t="shared" si="11"/>
        <v>-0.30689926694496039</v>
      </c>
      <c r="X47" s="6">
        <f t="shared" si="11"/>
        <v>8.0243763895306949E-2</v>
      </c>
      <c r="Y47" s="6">
        <f t="shared" si="11"/>
        <v>0.19842163899836265</v>
      </c>
      <c r="Z47" s="6">
        <f t="shared" si="3"/>
        <v>-0.26335131219289915</v>
      </c>
      <c r="AA47" s="6">
        <f t="shared" si="12"/>
        <v>7.3389482346090287E-2</v>
      </c>
      <c r="AB47" s="6">
        <f t="shared" si="12"/>
        <v>0.16950001925598471</v>
      </c>
      <c r="AC47" s="6">
        <f t="shared" si="12"/>
        <v>-0.23055207050793416</v>
      </c>
      <c r="AD47" s="6">
        <f t="shared" si="12"/>
        <v>6.6398184755338804E-2</v>
      </c>
      <c r="AE47" s="6">
        <f t="shared" si="12"/>
        <v>0.14872254409125477</v>
      </c>
      <c r="AF47" s="6">
        <f t="shared" si="12"/>
        <v>-0.20495030600366249</v>
      </c>
      <c r="AG47" s="6">
        <f t="shared" si="12"/>
        <v>5.9670020453634946E-2</v>
      </c>
      <c r="AH47" s="6">
        <f t="shared" si="12"/>
        <v>0.13326221871307792</v>
      </c>
      <c r="AI47" s="6">
        <f t="shared" si="12"/>
        <v>-0.18438604091464744</v>
      </c>
      <c r="AJ47" s="6">
        <f t="shared" si="12"/>
        <v>5.3356705046597133E-2</v>
      </c>
      <c r="AK47" s="6">
        <f t="shared" si="12"/>
        <v>0.12141711635195931</v>
      </c>
      <c r="AL47" s="6">
        <f t="shared" si="12"/>
        <v>-0.16747540970797994</v>
      </c>
      <c r="AM47" s="6">
        <f t="shared" si="12"/>
        <v>4.7499930277250961E-2</v>
      </c>
      <c r="AN47" s="6">
        <f t="shared" si="12"/>
        <v>0.11211301326653117</v>
      </c>
      <c r="AO47" s="6">
        <f t="shared" si="12"/>
        <v>-0.15329353822741471</v>
      </c>
      <c r="AP47" s="6">
        <f t="shared" si="12"/>
        <v>4.2092651444774976E-2</v>
      </c>
      <c r="AQ47" s="6">
        <f t="shared" si="12"/>
        <v>0.10464482628329586</v>
      </c>
      <c r="AR47" s="6">
        <f t="shared" si="12"/>
        <v>-0.14120029831433842</v>
      </c>
      <c r="AS47" s="6">
        <f t="shared" si="12"/>
        <v>3.7107307684422879E-2</v>
      </c>
      <c r="AT47" s="6">
        <f t="shared" si="12"/>
        <v>9.853427845559995E-2</v>
      </c>
      <c r="AU47" s="6">
        <f t="shared" si="12"/>
        <v>-0.13073940273225779</v>
      </c>
      <c r="AV47" s="6">
        <f t="shared" si="12"/>
        <v>3.250908310211878E-2</v>
      </c>
      <c r="AW47" s="6">
        <f t="shared" si="12"/>
        <v>9.3447706621160087E-2</v>
      </c>
      <c r="AX47" s="6">
        <f t="shared" si="12"/>
        <v>-0.12157733888751188</v>
      </c>
      <c r="AY47" s="6">
        <f t="shared" si="12"/>
        <v>2.8262125913077047E-2</v>
      </c>
      <c r="AZ47" s="4">
        <f t="shared" si="4"/>
        <v>19.481818206800487</v>
      </c>
      <c r="BA47" s="4">
        <v>1.0584</v>
      </c>
      <c r="BB47" s="5">
        <f t="shared" si="5"/>
        <v>-1.9415193873031562</v>
      </c>
      <c r="BC47" s="24">
        <v>-1.9203283012644865</v>
      </c>
    </row>
    <row r="48" spans="1:55" x14ac:dyDescent="0.3">
      <c r="A48" s="25">
        <v>1.1584000000000001</v>
      </c>
      <c r="B48" s="6">
        <f t="shared" si="2"/>
        <v>-17.904660231204449</v>
      </c>
      <c r="C48" s="6">
        <f t="shared" si="11"/>
        <v>-9.1578347566008844</v>
      </c>
      <c r="D48" s="6">
        <f t="shared" si="11"/>
        <v>8.3842890230634897</v>
      </c>
      <c r="E48" s="6">
        <f t="shared" si="11"/>
        <v>-1.8689948672958372</v>
      </c>
      <c r="F48" s="6">
        <f t="shared" ref="C48:Y58" si="13">SUM(((((8*(POWER(PI(),2))*(POWER(F$4,2)))-48)*(POWER((-1),F$4))/(POWER(F$4,4)))*COS(F$4*$A48))+(((6*POWER((-1),F$4))/F$4)*SIN(F$4*$A48)))</f>
        <v>-2.1511587026626318</v>
      </c>
      <c r="G48" s="6">
        <f t="shared" si="13"/>
        <v>2.3126061422361515</v>
      </c>
      <c r="H48" s="6">
        <f t="shared" si="13"/>
        <v>-0.42832828698172026</v>
      </c>
      <c r="I48" s="6">
        <f t="shared" si="13"/>
        <v>-1.0891467872956555</v>
      </c>
      <c r="J48" s="6">
        <f t="shared" si="13"/>
        <v>1.0833279297248093</v>
      </c>
      <c r="K48" s="6">
        <f t="shared" si="13"/>
        <v>-6.3501916818997917E-2</v>
      </c>
      <c r="L48" s="6">
        <f t="shared" si="13"/>
        <v>-0.73474518694087754</v>
      </c>
      <c r="M48" s="6">
        <f t="shared" si="13"/>
        <v>0.61395475208671657</v>
      </c>
      <c r="N48" s="6">
        <f t="shared" si="13"/>
        <v>9.2078558657015419E-2</v>
      </c>
      <c r="O48" s="6">
        <f t="shared" si="13"/>
        <v>-0.55964091714076403</v>
      </c>
      <c r="P48" s="6">
        <f t="shared" si="13"/>
        <v>0.36413262324367984</v>
      </c>
      <c r="Q48" s="6">
        <f t="shared" si="13"/>
        <v>0.17630148366916873</v>
      </c>
      <c r="R48" s="6">
        <f t="shared" si="13"/>
        <v>-0.44489045935524724</v>
      </c>
      <c r="S48" s="6">
        <f t="shared" si="13"/>
        <v>0.20128500369800023</v>
      </c>
      <c r="T48" s="6">
        <f t="shared" si="13"/>
        <v>0.2241379409651674</v>
      </c>
      <c r="U48" s="6">
        <f t="shared" si="13"/>
        <v>-0.3526712870100604</v>
      </c>
      <c r="V48" s="6">
        <f t="shared" si="13"/>
        <v>8.2466126722725547E-2</v>
      </c>
      <c r="W48" s="6">
        <f t="shared" si="13"/>
        <v>0.24698058995502195</v>
      </c>
      <c r="X48" s="6">
        <f t="shared" si="13"/>
        <v>-0.26938482816890397</v>
      </c>
      <c r="Y48" s="6">
        <f t="shared" si="13"/>
        <v>-8.0847593969539666E-3</v>
      </c>
      <c r="Z48" s="6">
        <f t="shared" si="3"/>
        <v>0.24965000667153137</v>
      </c>
      <c r="AA48" s="6">
        <f t="shared" si="12"/>
        <v>-0.19071240699406899</v>
      </c>
      <c r="AB48" s="6">
        <f t="shared" si="12"/>
        <v>-7.6355073381172783E-2</v>
      </c>
      <c r="AC48" s="6">
        <f t="shared" si="12"/>
        <v>0.23524277754712095</v>
      </c>
      <c r="AD48" s="6">
        <f t="shared" si="12"/>
        <v>-0.11644757814874165</v>
      </c>
      <c r="AE48" s="6">
        <f t="shared" si="12"/>
        <v>-0.12466923630792126</v>
      </c>
      <c r="AF48" s="6">
        <f t="shared" si="12"/>
        <v>0.20672259008420979</v>
      </c>
      <c r="AG48" s="6">
        <f t="shared" si="12"/>
        <v>-4.8259032934222963E-2</v>
      </c>
      <c r="AH48" s="6">
        <f t="shared" si="12"/>
        <v>-0.15420701371745127</v>
      </c>
      <c r="AI48" s="6">
        <f t="shared" si="12"/>
        <v>0.16741071705932295</v>
      </c>
      <c r="AJ48" s="6">
        <f t="shared" si="12"/>
        <v>1.1487018785015422E-2</v>
      </c>
      <c r="AK48" s="6">
        <f t="shared" si="12"/>
        <v>-0.16614309635619315</v>
      </c>
      <c r="AL48" s="6">
        <f t="shared" si="12"/>
        <v>0.12102881077454239</v>
      </c>
      <c r="AM48" s="6">
        <f t="shared" si="12"/>
        <v>6.0444460257782037E-2</v>
      </c>
      <c r="AN48" s="6">
        <f t="shared" si="12"/>
        <v>-0.16215704190566099</v>
      </c>
      <c r="AO48" s="6">
        <f t="shared" si="12"/>
        <v>7.1535922546454994E-2</v>
      </c>
      <c r="AP48" s="6">
        <f t="shared" si="12"/>
        <v>9.6755991988766679E-2</v>
      </c>
      <c r="AQ48" s="6">
        <f t="shared" si="12"/>
        <v>-0.14460547721143763</v>
      </c>
      <c r="AR48" s="6">
        <f t="shared" si="12"/>
        <v>2.2871582447581626E-2</v>
      </c>
      <c r="AS48" s="6">
        <f t="shared" si="12"/>
        <v>0.11935129256434954</v>
      </c>
      <c r="AT48" s="6">
        <f t="shared" si="12"/>
        <v>-0.11648953783350174</v>
      </c>
      <c r="AU48" s="6">
        <f t="shared" si="12"/>
        <v>-2.1330130952835941E-2</v>
      </c>
      <c r="AV48" s="6">
        <f t="shared" si="12"/>
        <v>0.12810588655826868</v>
      </c>
      <c r="AW48" s="6">
        <f t="shared" si="12"/>
        <v>-8.129154985683669E-2</v>
      </c>
      <c r="AX48" s="6">
        <f t="shared" si="12"/>
        <v>-5.8010901738045142E-2</v>
      </c>
      <c r="AY48" s="6">
        <f t="shared" si="12"/>
        <v>0.12387715860620548</v>
      </c>
      <c r="AZ48" s="4">
        <f t="shared" si="4"/>
        <v>19.481818206800487</v>
      </c>
      <c r="BA48" s="4">
        <v>1.1584000000000001</v>
      </c>
      <c r="BB48" s="5">
        <f t="shared" si="5"/>
        <v>-1.6158584674974783</v>
      </c>
      <c r="BC48" s="24">
        <v>-1.6745297249828861</v>
      </c>
    </row>
    <row r="49" spans="1:55" x14ac:dyDescent="0.3">
      <c r="A49" s="25">
        <v>1.2584</v>
      </c>
      <c r="B49" s="6">
        <f t="shared" si="2"/>
        <v>-15.223868321185481</v>
      </c>
      <c r="C49" s="6">
        <f t="shared" si="13"/>
        <v>-11.82212413052882</v>
      </c>
      <c r="D49" s="6">
        <f t="shared" si="13"/>
        <v>7.776662590770596</v>
      </c>
      <c r="E49" s="6">
        <f t="shared" si="13"/>
        <v>7.5517991931613793E-2</v>
      </c>
      <c r="F49" s="6">
        <f t="shared" si="13"/>
        <v>-3.0919311901228297</v>
      </c>
      <c r="G49" s="6">
        <f t="shared" si="13"/>
        <v>1.5988487875652786</v>
      </c>
      <c r="H49" s="6">
        <f t="shared" si="13"/>
        <v>0.80367180648851955</v>
      </c>
      <c r="I49" s="6">
        <f t="shared" si="13"/>
        <v>-1.4277283292296152</v>
      </c>
      <c r="J49" s="6">
        <f t="shared" si="13"/>
        <v>0.31716720874038795</v>
      </c>
      <c r="K49" s="6">
        <f t="shared" si="13"/>
        <v>0.79522348759229211</v>
      </c>
      <c r="L49" s="6">
        <f t="shared" si="13"/>
        <v>-0.71054922795430309</v>
      </c>
      <c r="M49" s="6">
        <f t="shared" si="13"/>
        <v>-0.16314044577545084</v>
      </c>
      <c r="N49" s="6">
        <f t="shared" si="13"/>
        <v>0.65001489744247176</v>
      </c>
      <c r="O49" s="6">
        <f t="shared" si="13"/>
        <v>-0.27071670297994493</v>
      </c>
      <c r="P49" s="6">
        <f t="shared" si="13"/>
        <v>-0.36042515967320521</v>
      </c>
      <c r="Q49" s="6">
        <f t="shared" si="13"/>
        <v>0.44656379840312033</v>
      </c>
      <c r="R49" s="6">
        <f t="shared" si="13"/>
        <v>2.6462834502735705E-2</v>
      </c>
      <c r="S49" s="6">
        <f t="shared" si="13"/>
        <v>-0.39653325039357579</v>
      </c>
      <c r="T49" s="6">
        <f t="shared" si="13"/>
        <v>0.22250700161495585</v>
      </c>
      <c r="U49" s="6">
        <f t="shared" si="13"/>
        <v>0.20754503001740324</v>
      </c>
      <c r="V49" s="6">
        <f t="shared" si="13"/>
        <v>-0.32373073073136249</v>
      </c>
      <c r="W49" s="6">
        <f t="shared" si="13"/>
        <v>1.6202560687131828E-2</v>
      </c>
      <c r="X49" s="6">
        <f t="shared" si="13"/>
        <v>0.27872553911574638</v>
      </c>
      <c r="Y49" s="6">
        <f t="shared" si="13"/>
        <v>-0.18649833745640892</v>
      </c>
      <c r="Z49" s="6">
        <f t="shared" si="3"/>
        <v>-0.13665970573939434</v>
      </c>
      <c r="AA49" s="6">
        <f t="shared" si="12"/>
        <v>0.2534491510161882</v>
      </c>
      <c r="AB49" s="6">
        <f t="shared" si="12"/>
        <v>-3.1439029764812734E-2</v>
      </c>
      <c r="AC49" s="6">
        <f t="shared" si="12"/>
        <v>-0.21274993046375507</v>
      </c>
      <c r="AD49" s="6">
        <f t="shared" si="12"/>
        <v>0.15973326887549333</v>
      </c>
      <c r="AE49" s="6">
        <f t="shared" si="12"/>
        <v>9.8120672912243009E-2</v>
      </c>
      <c r="AF49" s="6">
        <f t="shared" si="12"/>
        <v>-0.20813730621367474</v>
      </c>
      <c r="AG49" s="6">
        <f t="shared" si="12"/>
        <v>3.6683460472649934E-2</v>
      </c>
      <c r="AH49" s="6">
        <f t="shared" si="12"/>
        <v>0.17129039413500508</v>
      </c>
      <c r="AI49" s="6">
        <f t="shared" si="12"/>
        <v>-0.13931871642812294</v>
      </c>
      <c r="AJ49" s="6">
        <f t="shared" si="12"/>
        <v>-7.4870896163120065E-2</v>
      </c>
      <c r="AK49" s="6">
        <f t="shared" si="12"/>
        <v>0.1765633235945033</v>
      </c>
      <c r="AL49" s="6">
        <f t="shared" si="12"/>
        <v>-3.781366680354567E-2</v>
      </c>
      <c r="AM49" s="6">
        <f t="shared" si="12"/>
        <v>-0.14311916313324891</v>
      </c>
      <c r="AN49" s="6">
        <f t="shared" si="12"/>
        <v>0.12331705687917942</v>
      </c>
      <c r="AO49" s="6">
        <f t="shared" si="12"/>
        <v>5.9775539357245951E-2</v>
      </c>
      <c r="AP49" s="6">
        <f t="shared" si="12"/>
        <v>-0.1533279737762222</v>
      </c>
      <c r="AQ49" s="6">
        <f t="shared" si="12"/>
        <v>3.7143973772790911E-2</v>
      </c>
      <c r="AR49" s="6">
        <f t="shared" si="12"/>
        <v>0.12286647569603826</v>
      </c>
      <c r="AS49" s="6">
        <f t="shared" si="12"/>
        <v>-0.11046845824329397</v>
      </c>
      <c r="AT49" s="6">
        <f t="shared" si="12"/>
        <v>-4.94232679497296E-2</v>
      </c>
      <c r="AU49" s="6">
        <f t="shared" si="12"/>
        <v>0.1355238589046899</v>
      </c>
      <c r="AV49" s="6">
        <f t="shared" si="12"/>
        <v>-3.5683204534490254E-2</v>
      </c>
      <c r="AW49" s="6">
        <f t="shared" si="12"/>
        <v>-0.10767356257054024</v>
      </c>
      <c r="AX49" s="6">
        <f t="shared" si="12"/>
        <v>9.9937837416506053E-2</v>
      </c>
      <c r="AY49" s="6">
        <f t="shared" si="12"/>
        <v>4.2016405165344856E-2</v>
      </c>
      <c r="AZ49" s="4">
        <f t="shared" si="4"/>
        <v>19.481818206800487</v>
      </c>
      <c r="BA49" s="4">
        <v>1.2584</v>
      </c>
      <c r="BB49" s="5">
        <f t="shared" si="5"/>
        <v>-1.2045775479443357</v>
      </c>
      <c r="BC49" s="24">
        <v>-1.2675042815012869</v>
      </c>
    </row>
    <row r="50" spans="1:55" x14ac:dyDescent="0.3">
      <c r="A50" s="25">
        <v>1.3584000000000001</v>
      </c>
      <c r="B50" s="6">
        <f t="shared" si="2"/>
        <v>-12.390964551243025</v>
      </c>
      <c r="C50" s="6">
        <f t="shared" si="13"/>
        <v>-14.015102722242609</v>
      </c>
      <c r="D50" s="6">
        <f t="shared" si="13"/>
        <v>6.4743700500989458</v>
      </c>
      <c r="E50" s="6">
        <f t="shared" si="13"/>
        <v>2.0081082207231091</v>
      </c>
      <c r="F50" s="6">
        <f t="shared" si="13"/>
        <v>-3.2756910873708547</v>
      </c>
      <c r="G50" s="6">
        <f t="shared" si="13"/>
        <v>0.32656755222941092</v>
      </c>
      <c r="H50" s="6">
        <f t="shared" si="13"/>
        <v>1.6576924916488329</v>
      </c>
      <c r="I50" s="6">
        <f t="shared" si="13"/>
        <v>-0.90026902490292804</v>
      </c>
      <c r="J50" s="6">
        <f t="shared" si="13"/>
        <v>-0.68901933260159476</v>
      </c>
      <c r="K50" s="6">
        <f t="shared" si="13"/>
        <v>0.92282408487223844</v>
      </c>
      <c r="L50" s="6">
        <f t="shared" si="13"/>
        <v>9.0140439176857268E-2</v>
      </c>
      <c r="M50" s="6">
        <f t="shared" si="13"/>
        <v>-0.73218516327774896</v>
      </c>
      <c r="N50" s="6">
        <f t="shared" si="13"/>
        <v>0.25567788865176866</v>
      </c>
      <c r="O50" s="6">
        <f t="shared" si="13"/>
        <v>0.46761502805901578</v>
      </c>
      <c r="P50" s="6">
        <f t="shared" si="13"/>
        <v>-0.41512355765551517</v>
      </c>
      <c r="Q50" s="6">
        <f t="shared" si="13"/>
        <v>-0.20238038285000864</v>
      </c>
      <c r="R50" s="6">
        <f t="shared" si="13"/>
        <v>0.438071278296985</v>
      </c>
      <c r="S50" s="6">
        <f t="shared" si="13"/>
        <v>-2.1098633488243312E-2</v>
      </c>
      <c r="T50" s="6">
        <f t="shared" si="13"/>
        <v>-0.36800632531755789</v>
      </c>
      <c r="U50" s="6">
        <f t="shared" si="13"/>
        <v>0.17993287164441252</v>
      </c>
      <c r="V50" s="6">
        <f t="shared" si="13"/>
        <v>0.24440226997526157</v>
      </c>
      <c r="W50" s="6">
        <f t="shared" si="13"/>
        <v>-0.26605104008856983</v>
      </c>
      <c r="X50" s="6">
        <f t="shared" si="13"/>
        <v>-0.10203145829332345</v>
      </c>
      <c r="Y50" s="6">
        <f t="shared" si="13"/>
        <v>0.28313016339544617</v>
      </c>
      <c r="Z50" s="6">
        <f t="shared" si="3"/>
        <v>-3.0681905160254486E-2</v>
      </c>
      <c r="AA50" s="6">
        <f t="shared" si="12"/>
        <v>-0.24364304711929044</v>
      </c>
      <c r="AB50" s="6">
        <f t="shared" si="12"/>
        <v>0.13320137534599596</v>
      </c>
      <c r="AC50" s="6">
        <f t="shared" si="12"/>
        <v>0.165672697370187</v>
      </c>
      <c r="AD50" s="6">
        <f t="shared" si="12"/>
        <v>-0.19374106517264872</v>
      </c>
      <c r="AE50" s="6">
        <f t="shared" si="12"/>
        <v>-6.9608223581095793E-2</v>
      </c>
      <c r="AF50" s="6">
        <f t="shared" si="12"/>
        <v>0.20919200735834093</v>
      </c>
      <c r="AG50" s="6">
        <f t="shared" si="12"/>
        <v>-2.4982780961615075E-2</v>
      </c>
      <c r="AH50" s="6">
        <f t="shared" si="12"/>
        <v>-0.1840845842586166</v>
      </c>
      <c r="AI50" s="6">
        <f t="shared" si="12"/>
        <v>0.10197544941107653</v>
      </c>
      <c r="AJ50" s="6">
        <f t="shared" si="12"/>
        <v>0.12873968400580404</v>
      </c>
      <c r="AK50" s="6">
        <f t="shared" si="12"/>
        <v>-0.1505261965424077</v>
      </c>
      <c r="AL50" s="6">
        <f t="shared" si="12"/>
        <v>-5.6889266744195588E-2</v>
      </c>
      <c r="AM50" s="6">
        <f t="shared" si="12"/>
        <v>0.1659608137314435</v>
      </c>
      <c r="AN50" s="6">
        <f t="shared" si="12"/>
        <v>-1.6882628589303041E-2</v>
      </c>
      <c r="AO50" s="6">
        <f t="shared" si="12"/>
        <v>-0.14967972251554715</v>
      </c>
      <c r="AP50" s="6">
        <f t="shared" si="12"/>
        <v>7.9517190011229033E-2</v>
      </c>
      <c r="AQ50" s="6">
        <f t="shared" si="12"/>
        <v>0.10818500703202634</v>
      </c>
      <c r="AR50" s="6">
        <f t="shared" si="12"/>
        <v>-0.12136114591829578</v>
      </c>
      <c r="AS50" s="6">
        <f t="shared" si="12"/>
        <v>-5.1450115936344118E-2</v>
      </c>
      <c r="AT50" s="6">
        <f t="shared" si="12"/>
        <v>0.13732597238939209</v>
      </c>
      <c r="AU50" s="6">
        <f t="shared" si="12"/>
        <v>-9.0685555194661496E-3</v>
      </c>
      <c r="AV50" s="6">
        <f t="shared" si="12"/>
        <v>-0.1272217521337578</v>
      </c>
      <c r="AW50" s="6">
        <f t="shared" si="12"/>
        <v>6.244889532038387E-2</v>
      </c>
      <c r="AX50" s="6">
        <f t="shared" si="12"/>
        <v>9.5290187441086166E-2</v>
      </c>
      <c r="AY50" s="6">
        <f t="shared" si="12"/>
        <v>-0.10004022797718524</v>
      </c>
      <c r="AZ50" s="4">
        <f t="shared" si="4"/>
        <v>19.481818206800487</v>
      </c>
      <c r="BA50" s="4">
        <v>1.3584000000000001</v>
      </c>
      <c r="BB50" s="5">
        <f t="shared" si="5"/>
        <v>-0.68992467247227296</v>
      </c>
      <c r="BC50" s="24">
        <v>-0.6702503708196863</v>
      </c>
    </row>
    <row r="51" spans="1:55" x14ac:dyDescent="0.3">
      <c r="A51" s="25">
        <v>1.4583999999999999</v>
      </c>
      <c r="B51" s="6">
        <f t="shared" si="2"/>
        <v>-9.434254359412872</v>
      </c>
      <c r="C51" s="6">
        <f t="shared" si="13"/>
        <v>-15.649343395634746</v>
      </c>
      <c r="D51" s="6">
        <f t="shared" si="13"/>
        <v>4.5937413151524167</v>
      </c>
      <c r="E51" s="6">
        <f t="shared" si="13"/>
        <v>3.6236623157575671</v>
      </c>
      <c r="F51" s="6">
        <f t="shared" si="13"/>
        <v>-2.6574475627099208</v>
      </c>
      <c r="G51" s="6">
        <f t="shared" si="13"/>
        <v>-1.0597931245076526</v>
      </c>
      <c r="H51" s="6">
        <f t="shared" si="13"/>
        <v>1.7320744958270131</v>
      </c>
      <c r="I51" s="6">
        <f t="shared" si="13"/>
        <v>0.17328138949501304</v>
      </c>
      <c r="J51" s="6">
        <f t="shared" si="13"/>
        <v>-1.173769779693091</v>
      </c>
      <c r="K51" s="6">
        <f t="shared" si="13"/>
        <v>0.20198447434196054</v>
      </c>
      <c r="L51" s="6">
        <f t="shared" si="13"/>
        <v>0.79232393514274357</v>
      </c>
      <c r="M51" s="6">
        <f t="shared" si="13"/>
        <v>-0.36748549747747333</v>
      </c>
      <c r="N51" s="6">
        <f t="shared" si="13"/>
        <v>-0.51322782600335903</v>
      </c>
      <c r="O51" s="6">
        <f t="shared" si="13"/>
        <v>0.42967508357275824</v>
      </c>
      <c r="P51" s="6">
        <f t="shared" si="13"/>
        <v>0.30169580204342011</v>
      </c>
      <c r="Q51" s="6">
        <f t="shared" si="13"/>
        <v>-0.43474497739837614</v>
      </c>
      <c r="R51" s="6">
        <f t="shared" si="13"/>
        <v>-0.13934897913787325</v>
      </c>
      <c r="S51" s="6">
        <f t="shared" si="13"/>
        <v>0.40612055784095724</v>
      </c>
      <c r="T51" s="6">
        <f t="shared" si="13"/>
        <v>1.5438209414929988E-2</v>
      </c>
      <c r="U51" s="6">
        <f t="shared" si="13"/>
        <v>-0.35730202066873379</v>
      </c>
      <c r="V51" s="6">
        <f t="shared" si="13"/>
        <v>7.6959662826617259E-2</v>
      </c>
      <c r="W51" s="6">
        <f t="shared" si="13"/>
        <v>0.29694010799100923</v>
      </c>
      <c r="X51" s="6">
        <f t="shared" si="13"/>
        <v>-0.14276331096163991</v>
      </c>
      <c r="Y51" s="6">
        <f t="shared" si="13"/>
        <v>-0.23105846887952688</v>
      </c>
      <c r="Z51" s="6">
        <f t="shared" si="3"/>
        <v>0.18582093060330315</v>
      </c>
      <c r="AA51" s="6">
        <f t="shared" si="12"/>
        <v>0.16410082280993166</v>
      </c>
      <c r="AB51" s="6">
        <f t="shared" si="12"/>
        <v>-0.20940827569253481</v>
      </c>
      <c r="AC51" s="6">
        <f t="shared" si="12"/>
        <v>-9.9451102938299549E-2</v>
      </c>
      <c r="AD51" s="6">
        <f t="shared" si="12"/>
        <v>0.21649566943283097</v>
      </c>
      <c r="AE51" s="6">
        <f t="shared" si="12"/>
        <v>3.9702565181696153E-2</v>
      </c>
      <c r="AF51" s="6">
        <f t="shared" si="12"/>
        <v>-0.20988486920221519</v>
      </c>
      <c r="AG51" s="6">
        <f t="shared" si="12"/>
        <v>1.3196898964961415E-2</v>
      </c>
      <c r="AH51" s="6">
        <f t="shared" si="12"/>
        <v>0.19226921167992964</v>
      </c>
      <c r="AI51" s="6">
        <f t="shared" si="12"/>
        <v>-5.7860643928091288E-2</v>
      </c>
      <c r="AJ51" s="6">
        <f t="shared" si="12"/>
        <v>-0.16624737985075655</v>
      </c>
      <c r="AK51" s="6">
        <f t="shared" si="12"/>
        <v>9.3407943661841741E-2</v>
      </c>
      <c r="AL51" s="6">
        <f t="shared" si="12"/>
        <v>0.13430924466301303</v>
      </c>
      <c r="AM51" s="6">
        <f t="shared" si="12"/>
        <v>-0.11942012707598021</v>
      </c>
      <c r="AN51" s="6">
        <f t="shared" si="12"/>
        <v>-9.8805765933601866E-2</v>
      </c>
      <c r="AO51" s="6">
        <f t="shared" si="12"/>
        <v>0.1358988522325999</v>
      </c>
      <c r="AP51" s="6">
        <f t="shared" si="12"/>
        <v>6.1911203817240378E-2</v>
      </c>
      <c r="AQ51" s="6">
        <f t="shared" si="12"/>
        <v>-0.14322171458133218</v>
      </c>
      <c r="AR51" s="6">
        <f t="shared" si="12"/>
        <v>-2.5583582082578129E-2</v>
      </c>
      <c r="AS51" s="6">
        <f t="shared" si="12"/>
        <v>0.14209308182617161</v>
      </c>
      <c r="AT51" s="6">
        <f t="shared" si="12"/>
        <v>-8.4722083151325678E-3</v>
      </c>
      <c r="AU51" s="6">
        <f t="shared" si="12"/>
        <v>-0.13348973607037179</v>
      </c>
      <c r="AV51" s="6">
        <f t="shared" si="12"/>
        <v>3.8835419479179289E-2</v>
      </c>
      <c r="AW51" s="6">
        <f t="shared" si="12"/>
        <v>0.11860199228544016</v>
      </c>
      <c r="AX51" s="6">
        <f t="shared" si="12"/>
        <v>-6.4392240131790443E-2</v>
      </c>
      <c r="AY51" s="6">
        <f t="shared" si="12"/>
        <v>-9.8771664569840378E-2</v>
      </c>
      <c r="AZ51" s="4">
        <f t="shared" si="4"/>
        <v>19.481818206800487</v>
      </c>
      <c r="BA51" s="4">
        <v>1.4583999999999999</v>
      </c>
      <c r="BB51" s="5">
        <f t="shared" si="5"/>
        <v>6.6810779987221736E-2</v>
      </c>
      <c r="BC51" s="24">
        <v>0.14863360706191386</v>
      </c>
    </row>
    <row r="52" spans="1:55" x14ac:dyDescent="0.3">
      <c r="A52" s="25">
        <v>1.5584</v>
      </c>
      <c r="B52" s="6">
        <f t="shared" si="2"/>
        <v>-6.3832802165733282</v>
      </c>
      <c r="C52" s="6">
        <f t="shared" si="13"/>
        <v>-16.659694132201754</v>
      </c>
      <c r="D52" s="6">
        <f t="shared" si="13"/>
        <v>2.3027673498389496</v>
      </c>
      <c r="E52" s="6">
        <f t="shared" si="13"/>
        <v>4.6671198082418153</v>
      </c>
      <c r="F52" s="6">
        <f t="shared" si="13"/>
        <v>-1.3885681929737437</v>
      </c>
      <c r="G52" s="6">
        <f t="shared" si="13"/>
        <v>-2.0759375724145634</v>
      </c>
      <c r="H52" s="6">
        <f t="shared" si="13"/>
        <v>0.99183480020718906</v>
      </c>
      <c r="I52" s="6">
        <f t="shared" si="13"/>
        <v>1.1417216382352797</v>
      </c>
      <c r="J52" s="6">
        <f t="shared" si="13"/>
        <v>-0.77023465842257877</v>
      </c>
      <c r="K52" s="6">
        <f t="shared" si="13"/>
        <v>-0.70455873039918759</v>
      </c>
      <c r="L52" s="6">
        <f t="shared" si="13"/>
        <v>0.62864968860994275</v>
      </c>
      <c r="M52" s="6">
        <f t="shared" si="13"/>
        <v>0.46586272394038913</v>
      </c>
      <c r="N52" s="6">
        <f t="shared" si="13"/>
        <v>-0.5302535731986544</v>
      </c>
      <c r="O52" s="6">
        <f t="shared" si="13"/>
        <v>-0.32155373539844667</v>
      </c>
      <c r="P52" s="6">
        <f t="shared" si="13"/>
        <v>0.45780579123840487</v>
      </c>
      <c r="Q52" s="6">
        <f t="shared" si="13"/>
        <v>0.22776907417584261</v>
      </c>
      <c r="R52" s="6">
        <f t="shared" si="13"/>
        <v>-0.40216258080175138</v>
      </c>
      <c r="S52" s="6">
        <f t="shared" si="13"/>
        <v>-0.1634442493905382</v>
      </c>
      <c r="T52" s="6">
        <f t="shared" si="13"/>
        <v>0.35802430124775597</v>
      </c>
      <c r="U52" s="6">
        <f t="shared" si="13"/>
        <v>0.117447339541978</v>
      </c>
      <c r="V52" s="6">
        <f t="shared" si="13"/>
        <v>-0.32210784195393244</v>
      </c>
      <c r="W52" s="6">
        <f t="shared" si="13"/>
        <v>-8.3448130532692621E-2</v>
      </c>
      <c r="X52" s="6">
        <f t="shared" si="13"/>
        <v>0.29227099991783384</v>
      </c>
      <c r="Y52" s="6">
        <f t="shared" si="13"/>
        <v>5.7631962353246274E-2</v>
      </c>
      <c r="Z52" s="6">
        <f t="shared" si="3"/>
        <v>-0.26705659921539782</v>
      </c>
      <c r="AA52" s="6">
        <f t="shared" si="12"/>
        <v>-3.7589251849552099E-2</v>
      </c>
      <c r="AB52" s="6">
        <f t="shared" si="12"/>
        <v>0.2454390013769015</v>
      </c>
      <c r="AC52" s="6">
        <f t="shared" si="12"/>
        <v>2.1737404615021341E-2</v>
      </c>
      <c r="AD52" s="6">
        <f t="shared" si="12"/>
        <v>-0.2266754107380187</v>
      </c>
      <c r="AE52" s="6">
        <f t="shared" si="12"/>
        <v>-9.002259670245788E-3</v>
      </c>
      <c r="AF52" s="6">
        <f t="shared" si="12"/>
        <v>0.21021469330254486</v>
      </c>
      <c r="AG52" s="6">
        <f t="shared" si="12"/>
        <v>-1.3660096252078174E-3</v>
      </c>
      <c r="AH52" s="6">
        <f t="shared" si="12"/>
        <v>-0.19563932956189561</v>
      </c>
      <c r="AI52" s="6">
        <f t="shared" si="12"/>
        <v>9.9036825312483409E-3</v>
      </c>
      <c r="AJ52" s="6">
        <f t="shared" si="12"/>
        <v>0.18262725720582518</v>
      </c>
      <c r="AK52" s="6">
        <f t="shared" si="12"/>
        <v>-1.7002522720035121E-2</v>
      </c>
      <c r="AL52" s="6">
        <f t="shared" si="12"/>
        <v>-0.17092608257120978</v>
      </c>
      <c r="AM52" s="6">
        <f t="shared" si="12"/>
        <v>2.2954115608189621E-2</v>
      </c>
      <c r="AN52" s="6">
        <f t="shared" si="12"/>
        <v>0.1603352232541832</v>
      </c>
      <c r="AO52" s="6">
        <f t="shared" si="12"/>
        <v>-2.7979113173503975E-2</v>
      </c>
      <c r="AP52" s="6">
        <f t="shared" si="12"/>
        <v>-0.15069327503693322</v>
      </c>
      <c r="AQ52" s="6">
        <f t="shared" si="12"/>
        <v>3.2246983816908756E-2</v>
      </c>
      <c r="AR52" s="6">
        <f t="shared" si="12"/>
        <v>0.14186890295337098</v>
      </c>
      <c r="AS52" s="6">
        <f t="shared" si="12"/>
        <v>-3.5889633347088758E-2</v>
      </c>
      <c r="AT52" s="6">
        <f t="shared" si="12"/>
        <v>-0.13375416053992711</v>
      </c>
      <c r="AU52" s="6">
        <f t="shared" si="12"/>
        <v>3.9010977959837191E-2</v>
      </c>
      <c r="AV52" s="6">
        <f t="shared" si="12"/>
        <v>0.12625951424902226</v>
      </c>
      <c r="AW52" s="6">
        <f t="shared" si="12"/>
        <v>-4.1693787802646209E-2</v>
      </c>
      <c r="AX52" s="6">
        <f t="shared" si="12"/>
        <v>-0.11931008599990107</v>
      </c>
      <c r="AY52" s="6">
        <f t="shared" si="12"/>
        <v>4.4004655509741988E-2</v>
      </c>
      <c r="AZ52" s="4">
        <f t="shared" si="4"/>
        <v>19.481818206800487</v>
      </c>
      <c r="BA52" s="4">
        <v>1.5584</v>
      </c>
      <c r="BB52" s="5">
        <f t="shared" si="5"/>
        <v>1.1875049606191723</v>
      </c>
      <c r="BC52" s="24">
        <v>1.2229492521435139</v>
      </c>
    </row>
    <row r="53" spans="1:55" x14ac:dyDescent="0.3">
      <c r="A53" s="25">
        <v>1.6584000000000001</v>
      </c>
      <c r="B53" s="6">
        <f t="shared" si="2"/>
        <v>-3.2685264478416887</v>
      </c>
      <c r="C53" s="6">
        <f t="shared" si="13"/>
        <v>-17.005875436422834</v>
      </c>
      <c r="D53" s="6">
        <f t="shared" si="13"/>
        <v>-0.19390596461597331</v>
      </c>
      <c r="E53" s="6">
        <f t="shared" si="13"/>
        <v>4.973741703661954</v>
      </c>
      <c r="F53" s="6">
        <f t="shared" si="13"/>
        <v>0.22028109841115384</v>
      </c>
      <c r="G53" s="6">
        <f t="shared" si="13"/>
        <v>-2.3668973011781014</v>
      </c>
      <c r="H53" s="6">
        <f t="shared" si="13"/>
        <v>-0.21488029979633516</v>
      </c>
      <c r="I53" s="6">
        <f t="shared" si="13"/>
        <v>1.4176088616356992</v>
      </c>
      <c r="J53" s="6">
        <f t="shared" si="13"/>
        <v>0.21619869652704093</v>
      </c>
      <c r="K53" s="6">
        <f t="shared" si="13"/>
        <v>-0.96333388765038064</v>
      </c>
      <c r="L53" s="6">
        <f t="shared" si="13"/>
        <v>-0.2220178141650101</v>
      </c>
      <c r="M53" s="6">
        <f t="shared" si="13"/>
        <v>0.70510343856032343</v>
      </c>
      <c r="N53" s="6">
        <f t="shared" si="13"/>
        <v>0.22954340659407582</v>
      </c>
      <c r="O53" s="6">
        <f t="shared" si="13"/>
        <v>-0.53898222296190634</v>
      </c>
      <c r="P53" s="6">
        <f t="shared" si="13"/>
        <v>-0.23692800088447502</v>
      </c>
      <c r="Q53" s="6">
        <f t="shared" si="13"/>
        <v>0.42144348107649265</v>
      </c>
      <c r="R53" s="6">
        <f t="shared" si="13"/>
        <v>0.24298184783384352</v>
      </c>
      <c r="S53" s="6">
        <f t="shared" si="13"/>
        <v>-0.33185080618681762</v>
      </c>
      <c r="T53" s="6">
        <f t="shared" si="13"/>
        <v>-0.24692925196892235</v>
      </c>
      <c r="U53" s="6">
        <f t="shared" si="13"/>
        <v>0.25955134304618926</v>
      </c>
      <c r="V53" s="6">
        <f t="shared" si="13"/>
        <v>0.24827011571640223</v>
      </c>
      <c r="W53" s="6">
        <f t="shared" si="13"/>
        <v>-0.19872147188828898</v>
      </c>
      <c r="X53" s="6">
        <f t="shared" si="13"/>
        <v>-0.24670300695982106</v>
      </c>
      <c r="Y53" s="6">
        <f t="shared" si="13"/>
        <v>0.14606357517234125</v>
      </c>
      <c r="Z53" s="6">
        <f t="shared" si="3"/>
        <v>0.24208044829888126</v>
      </c>
      <c r="AA53" s="6">
        <f t="shared" si="12"/>
        <v>-9.9681208495063414E-2</v>
      </c>
      <c r="AB53" s="6">
        <f t="shared" si="12"/>
        <v>-0.23438085172615331</v>
      </c>
      <c r="AC53" s="6">
        <f t="shared" si="12"/>
        <v>5.8488166425443758E-2</v>
      </c>
      <c r="AD53" s="6">
        <f t="shared" si="12"/>
        <v>0.22368901235660224</v>
      </c>
      <c r="AE53" s="6">
        <f t="shared" si="12"/>
        <v>-2.1878226129713407E-2</v>
      </c>
      <c r="AF53" s="6">
        <f t="shared" si="12"/>
        <v>-0.21018090916276386</v>
      </c>
      <c r="AG53" s="6">
        <f t="shared" si="12"/>
        <v>-1.0469538419900795E-2</v>
      </c>
      <c r="AH53" s="6">
        <f t="shared" si="12"/>
        <v>0.19411054860188065</v>
      </c>
      <c r="AI53" s="6">
        <f t="shared" si="12"/>
        <v>3.8710919185909243E-2</v>
      </c>
      <c r="AJ53" s="6">
        <f t="shared" si="12"/>
        <v>-0.17579765273318562</v>
      </c>
      <c r="AK53" s="6">
        <f t="shared" si="12"/>
        <v>-6.2913632965632585E-2</v>
      </c>
      <c r="AL53" s="6">
        <f t="shared" si="12"/>
        <v>0.15561558743454418</v>
      </c>
      <c r="AM53" s="6">
        <f t="shared" si="12"/>
        <v>8.3108198472722841E-2</v>
      </c>
      <c r="AN53" s="6">
        <f t="shared" si="12"/>
        <v>-0.13397927018910374</v>
      </c>
      <c r="AO53" s="6">
        <f t="shared" si="12"/>
        <v>-9.9322114546036067E-2</v>
      </c>
      <c r="AP53" s="6">
        <f t="shared" si="12"/>
        <v>0.11133300232826585</v>
      </c>
      <c r="AQ53" s="6">
        <f t="shared" si="12"/>
        <v>0.11160284903765648</v>
      </c>
      <c r="AR53" s="6">
        <f t="shared" si="12"/>
        <v>-8.8138295612632478E-2</v>
      </c>
      <c r="AS53" s="6">
        <f t="shared" si="12"/>
        <v>-0.12003295378810418</v>
      </c>
      <c r="AT53" s="6">
        <f t="shared" si="12"/>
        <v>6.4861838711546146E-2</v>
      </c>
      <c r="AU53" s="6">
        <f t="shared" si="12"/>
        <v>0.12473937655756479</v>
      </c>
      <c r="AV53" s="6">
        <f t="shared" si="12"/>
        <v>-4.1963792741216949E-2</v>
      </c>
      <c r="AW53" s="6">
        <f t="shared" si="12"/>
        <v>-0.12589832038238374</v>
      </c>
      <c r="AX53" s="6">
        <f t="shared" si="12"/>
        <v>1.9886626460083531E-2</v>
      </c>
      <c r="AY53" s="6">
        <f t="shared" si="12"/>
        <v>0.12373657807474001</v>
      </c>
      <c r="AZ53" s="4">
        <f t="shared" si="4"/>
        <v>19.481818206800487</v>
      </c>
      <c r="BA53" s="4">
        <v>1.6584000000000001</v>
      </c>
      <c r="BB53" s="5">
        <f t="shared" si="5"/>
        <v>2.6543802475693994</v>
      </c>
      <c r="BC53" s="24">
        <v>2.5888981644251148</v>
      </c>
    </row>
    <row r="54" spans="1:55" x14ac:dyDescent="0.3">
      <c r="A54" s="25">
        <v>1.7584</v>
      </c>
      <c r="B54" s="6">
        <f t="shared" si="2"/>
        <v>-0.12111464327441812</v>
      </c>
      <c r="C54" s="6">
        <f t="shared" si="13"/>
        <v>-16.674086152136955</v>
      </c>
      <c r="D54" s="6">
        <f t="shared" si="13"/>
        <v>-2.6732582367524254</v>
      </c>
      <c r="E54" s="6">
        <f t="shared" si="13"/>
        <v>4.4951191467351492</v>
      </c>
      <c r="F54" s="6">
        <f t="shared" si="13"/>
        <v>1.775197894333115</v>
      </c>
      <c r="G54" s="6">
        <f t="shared" si="13"/>
        <v>-1.8310317065772099</v>
      </c>
      <c r="H54" s="6">
        <f t="shared" si="13"/>
        <v>-1.3205338372083379</v>
      </c>
      <c r="I54" s="6">
        <f t="shared" si="13"/>
        <v>0.83359357202789897</v>
      </c>
      <c r="J54" s="6">
        <f t="shared" si="13"/>
        <v>1.0390171881992434</v>
      </c>
      <c r="K54" s="6">
        <f t="shared" si="13"/>
        <v>-0.33642431123765254</v>
      </c>
      <c r="L54" s="6">
        <f t="shared" si="13"/>
        <v>-0.83006252739520781</v>
      </c>
      <c r="M54" s="6">
        <f t="shared" si="13"/>
        <v>4.5136673400611727E-2</v>
      </c>
      <c r="N54" s="6">
        <f t="shared" si="13"/>
        <v>0.65305875796347945</v>
      </c>
      <c r="O54" s="6">
        <f t="shared" si="13"/>
        <v>0.13833519837673514</v>
      </c>
      <c r="P54" s="6">
        <f t="shared" si="13"/>
        <v>-0.49132503879698719</v>
      </c>
      <c r="Q54" s="6">
        <f t="shared" si="13"/>
        <v>-0.25238097082469391</v>
      </c>
      <c r="R54" s="6">
        <f t="shared" si="13"/>
        <v>0.33954883418746362</v>
      </c>
      <c r="S54" s="6">
        <f t="shared" si="13"/>
        <v>0.31423864597300694</v>
      </c>
      <c r="T54" s="6">
        <f t="shared" si="13"/>
        <v>-0.19836499941783367</v>
      </c>
      <c r="U54" s="6">
        <f t="shared" si="13"/>
        <v>-0.33347028020244562</v>
      </c>
      <c r="V54" s="6">
        <f t="shared" si="13"/>
        <v>7.1431440337968832E-2</v>
      </c>
      <c r="W54" s="6">
        <f t="shared" si="13"/>
        <v>0.31734374699046314</v>
      </c>
      <c r="X54" s="6">
        <f t="shared" si="13"/>
        <v>3.6473595912081838E-2</v>
      </c>
      <c r="Y54" s="6">
        <f t="shared" si="13"/>
        <v>-0.27304468715638752</v>
      </c>
      <c r="Z54" s="6">
        <f t="shared" si="3"/>
        <v>-0.12082581199137882</v>
      </c>
      <c r="AA54" s="6">
        <f t="shared" si="12"/>
        <v>0.20842066481284224</v>
      </c>
      <c r="AB54" s="6">
        <f t="shared" si="12"/>
        <v>0.17835539595879107</v>
      </c>
      <c r="AC54" s="6">
        <f t="shared" si="12"/>
        <v>-0.13195511875662216</v>
      </c>
      <c r="AD54" s="6">
        <f t="shared" si="12"/>
        <v>-0.20770993526576231</v>
      </c>
      <c r="AE54" s="6">
        <f t="shared" si="12"/>
        <v>5.2320819084935438E-2</v>
      </c>
      <c r="AF54" s="6">
        <f t="shared" si="12"/>
        <v>0.20978357521928023</v>
      </c>
      <c r="AG54" s="6">
        <f t="shared" si="12"/>
        <v>2.2269380644345214E-2</v>
      </c>
      <c r="AH54" s="6">
        <f t="shared" si="12"/>
        <v>-0.1877211501786418</v>
      </c>
      <c r="AI54" s="6">
        <f t="shared" si="12"/>
        <v>-8.4754975935300292E-2</v>
      </c>
      <c r="AJ54" s="6">
        <f t="shared" si="12"/>
        <v>0.14662651781820915</v>
      </c>
      <c r="AK54" s="6">
        <f t="shared" si="12"/>
        <v>0.12983918244821113</v>
      </c>
      <c r="AL54" s="6">
        <f t="shared" si="12"/>
        <v>-9.3029086704532221E-2</v>
      </c>
      <c r="AM54" s="6">
        <f t="shared" si="12"/>
        <v>-0.15442591878278589</v>
      </c>
      <c r="AN54" s="6">
        <f t="shared" si="12"/>
        <v>3.4184537392674352E-2</v>
      </c>
      <c r="AO54" s="6">
        <f t="shared" si="12"/>
        <v>0.15782164634090684</v>
      </c>
      <c r="AP54" s="6">
        <f t="shared" si="12"/>
        <v>2.269952348146962E-2</v>
      </c>
      <c r="AQ54" s="6">
        <f t="shared" si="12"/>
        <v>-0.14167599268323533</v>
      </c>
      <c r="AR54" s="6">
        <f t="shared" si="12"/>
        <v>-7.1217391133204078E-2</v>
      </c>
      <c r="AS54" s="6">
        <f t="shared" si="12"/>
        <v>0.10966977770645892</v>
      </c>
      <c r="AT54" s="6">
        <f t="shared" si="12"/>
        <v>0.1064089542524258</v>
      </c>
      <c r="AU54" s="6">
        <f t="shared" si="12"/>
        <v>-6.6990650538306981E-2</v>
      </c>
      <c r="AV54" s="6">
        <f t="shared" si="12"/>
        <v>-0.12521976363722762</v>
      </c>
      <c r="AW54" s="6">
        <f t="shared" si="12"/>
        <v>1.966183770226225E-2</v>
      </c>
      <c r="AX54" s="6">
        <f t="shared" si="12"/>
        <v>0.12672828964168509</v>
      </c>
      <c r="AY54" s="6">
        <f t="shared" si="12"/>
        <v>2.6194120807101762E-2</v>
      </c>
      <c r="AZ54" s="4">
        <f t="shared" si="4"/>
        <v>19.481818206800487</v>
      </c>
      <c r="BA54" s="4">
        <v>1.7584</v>
      </c>
      <c r="BB54" s="5">
        <f t="shared" si="5"/>
        <v>4.3706739379617492</v>
      </c>
      <c r="BC54" s="24">
        <v>4.2850819439067145</v>
      </c>
    </row>
    <row r="55" spans="1:55" x14ac:dyDescent="0.3">
      <c r="A55" s="25">
        <v>1.8584000000000001</v>
      </c>
      <c r="B55" s="6">
        <f t="shared" si="2"/>
        <v>3.0275072987732781</v>
      </c>
      <c r="C55" s="6">
        <f t="shared" si="13"/>
        <v>-15.677553671086971</v>
      </c>
      <c r="D55" s="6">
        <f t="shared" si="13"/>
        <v>-4.9138163122343741</v>
      </c>
      <c r="E55" s="6">
        <f t="shared" si="13"/>
        <v>3.3068161152446001</v>
      </c>
      <c r="F55" s="6">
        <f t="shared" si="13"/>
        <v>2.8954843335313467</v>
      </c>
      <c r="G55" s="6">
        <f t="shared" si="13"/>
        <v>-0.65553405775593387</v>
      </c>
      <c r="H55" s="6">
        <f t="shared" si="13"/>
        <v>-1.8051196770708735</v>
      </c>
      <c r="I55" s="6">
        <f t="shared" si="13"/>
        <v>-0.25606839263468684</v>
      </c>
      <c r="J55" s="6">
        <f t="shared" si="13"/>
        <v>1.0755281862513741</v>
      </c>
      <c r="K55" s="6">
        <f t="shared" si="13"/>
        <v>0.59979222542677191</v>
      </c>
      <c r="L55" s="6">
        <f t="shared" si="13"/>
        <v>-0.5310084717693474</v>
      </c>
      <c r="M55" s="6">
        <f t="shared" si="13"/>
        <v>-0.67239219132433914</v>
      </c>
      <c r="N55" s="6">
        <f t="shared" si="13"/>
        <v>0.11984149896244062</v>
      </c>
      <c r="O55" s="6">
        <f t="shared" si="13"/>
        <v>0.58600709982317012</v>
      </c>
      <c r="P55" s="6">
        <f t="shared" si="13"/>
        <v>0.16741808417692619</v>
      </c>
      <c r="Q55" s="6">
        <f t="shared" si="13"/>
        <v>-0.40670467350445971</v>
      </c>
      <c r="R55" s="6">
        <f t="shared" si="13"/>
        <v>-0.33047984349288051</v>
      </c>
      <c r="S55" s="6">
        <f t="shared" si="13"/>
        <v>0.18905944898964488</v>
      </c>
      <c r="T55" s="6">
        <f t="shared" si="13"/>
        <v>0.3751879214542625</v>
      </c>
      <c r="U55" s="6">
        <f t="shared" si="13"/>
        <v>1.7993861331284527E-2</v>
      </c>
      <c r="V55" s="6">
        <f t="shared" si="13"/>
        <v>-0.32039388451756379</v>
      </c>
      <c r="W55" s="6">
        <f t="shared" si="13"/>
        <v>-0.17479282742748128</v>
      </c>
      <c r="X55" s="6">
        <f t="shared" si="13"/>
        <v>0.19810004222767974</v>
      </c>
      <c r="Y55" s="6">
        <f t="shared" si="13"/>
        <v>0.25661929756975022</v>
      </c>
      <c r="Z55" s="6">
        <f t="shared" si="3"/>
        <v>-4.848279255854672E-2</v>
      </c>
      <c r="AA55" s="6">
        <f t="shared" si="12"/>
        <v>-0.25750543880054411</v>
      </c>
      <c r="AB55" s="6">
        <f t="shared" si="12"/>
        <v>-8.8111438003378395E-2</v>
      </c>
      <c r="AC55" s="6">
        <f t="shared" si="12"/>
        <v>0.1901739552907056</v>
      </c>
      <c r="AD55" s="6">
        <f t="shared" si="12"/>
        <v>0.17966630290136726</v>
      </c>
      <c r="AE55" s="6">
        <f t="shared" si="12"/>
        <v>-8.1716210490434538E-2</v>
      </c>
      <c r="AF55" s="6">
        <f t="shared" si="12"/>
        <v>-0.20902337874039892</v>
      </c>
      <c r="AG55" s="6">
        <f t="shared" si="12"/>
        <v>-3.3993274294969879E-2</v>
      </c>
      <c r="AH55" s="6">
        <f t="shared" si="12"/>
        <v>0.17663112776898426</v>
      </c>
      <c r="AI55" s="6">
        <f t="shared" si="12"/>
        <v>0.1251709959068189</v>
      </c>
      <c r="AJ55" s="6">
        <f t="shared" si="12"/>
        <v>-9.8821113556864099E-2</v>
      </c>
      <c r="AK55" s="6">
        <f t="shared" si="12"/>
        <v>-0.1699551262951248</v>
      </c>
      <c r="AL55" s="6">
        <f t="shared" si="12"/>
        <v>2.1803553336631684E-3</v>
      </c>
      <c r="AM55" s="6">
        <f t="shared" si="12"/>
        <v>0.16118363280708153</v>
      </c>
      <c r="AN55" s="6">
        <f t="shared" si="12"/>
        <v>8.4347950194142124E-2</v>
      </c>
      <c r="AO55" s="6">
        <f t="shared" si="12"/>
        <v>-0.10699611018381745</v>
      </c>
      <c r="AP55" s="6">
        <f t="shared" si="12"/>
        <v>-0.13742946167235301</v>
      </c>
      <c r="AQ55" s="6">
        <f t="shared" si="12"/>
        <v>2.7313528036626622E-2</v>
      </c>
      <c r="AR55" s="6">
        <f t="shared" si="12"/>
        <v>0.1452260384204006</v>
      </c>
      <c r="AS55" s="6">
        <f t="shared" si="12"/>
        <v>5.2622698723261627E-2</v>
      </c>
      <c r="AT55" s="6">
        <f t="shared" si="12"/>
        <v>-0.10972295986801286</v>
      </c>
      <c r="AU55" s="6">
        <f t="shared" si="12"/>
        <v>-0.10971303507977656</v>
      </c>
      <c r="AV55" s="6">
        <f t="shared" si="12"/>
        <v>4.5066403762424906E-2</v>
      </c>
      <c r="AW55" s="6">
        <f t="shared" si="12"/>
        <v>0.12933910200538243</v>
      </c>
      <c r="AX55" s="6">
        <f t="shared" si="12"/>
        <v>2.7386160687798304E-2</v>
      </c>
      <c r="AY55" s="6">
        <f t="shared" si="12"/>
        <v>-0.10887601496587949</v>
      </c>
      <c r="AZ55" s="4">
        <f t="shared" si="4"/>
        <v>19.481818206800487</v>
      </c>
      <c r="BA55" s="4">
        <v>1.8584000000000001</v>
      </c>
      <c r="BB55" s="5">
        <f t="shared" si="5"/>
        <v>6.3392715150726566</v>
      </c>
      <c r="BC55" s="24">
        <v>6.3525021905883143</v>
      </c>
    </row>
    <row r="56" spans="1:55" x14ac:dyDescent="0.3">
      <c r="A56" s="25">
        <v>1.9583999999999999</v>
      </c>
      <c r="B56" s="6">
        <f t="shared" si="2"/>
        <v>6.1458793886524852</v>
      </c>
      <c r="C56" s="6">
        <f t="shared" si="13"/>
        <v>-14.056006598552251</v>
      </c>
      <c r="D56" s="6">
        <f t="shared" si="13"/>
        <v>-6.7154378111238016</v>
      </c>
      <c r="E56" s="6">
        <f t="shared" si="13"/>
        <v>1.5964395294487539</v>
      </c>
      <c r="F56" s="6">
        <f t="shared" si="13"/>
        <v>3.3068552243346403</v>
      </c>
      <c r="G56" s="6">
        <f t="shared" si="13"/>
        <v>0.74896049727274261</v>
      </c>
      <c r="H56" s="6">
        <f t="shared" si="13"/>
        <v>-1.4407295270339744</v>
      </c>
      <c r="I56" s="6">
        <f t="shared" si="13"/>
        <v>-1.1904027064285583</v>
      </c>
      <c r="J56" s="6">
        <f t="shared" si="13"/>
        <v>0.29810089526060179</v>
      </c>
      <c r="K56" s="6">
        <f t="shared" si="13"/>
        <v>0.98456255611738852</v>
      </c>
      <c r="L56" s="6">
        <f t="shared" si="13"/>
        <v>0.34833576091781082</v>
      </c>
      <c r="M56" s="6">
        <f t="shared" si="13"/>
        <v>-0.53242972255248666</v>
      </c>
      <c r="N56" s="6">
        <f t="shared" si="13"/>
        <v>-0.58894383677734341</v>
      </c>
      <c r="O56" s="6">
        <f t="shared" si="13"/>
        <v>6.086870657566551E-2</v>
      </c>
      <c r="P56" s="6">
        <f t="shared" si="13"/>
        <v>0.51501041236347433</v>
      </c>
      <c r="Q56" s="6">
        <f t="shared" si="13"/>
        <v>0.27613213519275731</v>
      </c>
      <c r="R56" s="6">
        <f t="shared" si="13"/>
        <v>-0.25438781756805545</v>
      </c>
      <c r="S56" s="6">
        <f t="shared" si="13"/>
        <v>-0.40014805163694311</v>
      </c>
      <c r="T56" s="6">
        <f t="shared" si="13"/>
        <v>-4.4223681820900973E-2</v>
      </c>
      <c r="U56" s="6">
        <f t="shared" si="13"/>
        <v>0.3184941032618816</v>
      </c>
      <c r="V56" s="6">
        <f t="shared" si="13"/>
        <v>0.25206776873464765</v>
      </c>
      <c r="W56" s="6">
        <f t="shared" si="13"/>
        <v>-0.11161219853187518</v>
      </c>
      <c r="X56" s="6">
        <f t="shared" si="13"/>
        <v>-0.30045221181373033</v>
      </c>
      <c r="Y56" s="6">
        <f t="shared" si="13"/>
        <v>-0.10541422747269595</v>
      </c>
      <c r="Z56" s="6">
        <f t="shared" si="3"/>
        <v>0.19850917143571101</v>
      </c>
      <c r="AA56" s="6">
        <f t="shared" si="12"/>
        <v>0.23288636406620125</v>
      </c>
      <c r="AB56" s="6">
        <f t="shared" si="12"/>
        <v>-1.9037202974957049E-2</v>
      </c>
      <c r="AC56" s="6">
        <f t="shared" si="12"/>
        <v>-0.22641717981982964</v>
      </c>
      <c r="AD56" s="6">
        <f t="shared" si="12"/>
        <v>-0.14118699234288176</v>
      </c>
      <c r="AE56" s="6">
        <f t="shared" si="12"/>
        <v>0.10947605138737307</v>
      </c>
      <c r="AF56" s="6">
        <f t="shared" si="12"/>
        <v>0.20790163463755396</v>
      </c>
      <c r="AG56" s="6">
        <f t="shared" si="12"/>
        <v>4.5601235637306364E-2</v>
      </c>
      <c r="AH56" s="6">
        <f t="shared" si="12"/>
        <v>-0.16111818063747851</v>
      </c>
      <c r="AI56" s="6">
        <f t="shared" si="12"/>
        <v>-0.15727520927686703</v>
      </c>
      <c r="AJ56" s="6">
        <f t="shared" si="12"/>
        <v>3.845686745348801E-2</v>
      </c>
      <c r="AK56" s="6">
        <f t="shared" si="12"/>
        <v>0.17497819736036099</v>
      </c>
      <c r="AL56" s="6">
        <f t="shared" si="12"/>
        <v>8.9330767849290754E-2</v>
      </c>
      <c r="AM56" s="6">
        <f t="shared" si="12"/>
        <v>-0.10055617969615528</v>
      </c>
      <c r="AN56" s="6">
        <f t="shared" si="12"/>
        <v>-0.15664634107066047</v>
      </c>
      <c r="AO56" s="6">
        <f t="shared" si="12"/>
        <v>-1.7946996583162012E-2</v>
      </c>
      <c r="AP56" s="6">
        <f t="shared" ref="AA56:AY66" si="14">SUM(((((8*(POWER(PI(),2))*(POWER(AP$4,2)))-48)*(POWER((-1),AP$4))/(POWER(AP$4,4)))*COS(AP$4*$A56))+(((6*POWER((-1),AP$4))/AP$4)*SIN(AP$4*$A56)))</f>
        <v>0.13529596757541862</v>
      </c>
      <c r="AQ56" s="6">
        <f t="shared" si="14"/>
        <v>0.11489448730533652</v>
      </c>
      <c r="AR56" s="6">
        <f t="shared" si="14"/>
        <v>-4.5195560793499331E-2</v>
      </c>
      <c r="AS56" s="6">
        <f t="shared" si="14"/>
        <v>-0.14201514775571775</v>
      </c>
      <c r="AT56" s="6">
        <f t="shared" si="14"/>
        <v>-6.0150676169847546E-2</v>
      </c>
      <c r="AU56" s="6">
        <f t="shared" si="14"/>
        <v>9.1599838782128989E-2</v>
      </c>
      <c r="AV56" s="6">
        <f t="shared" si="14"/>
        <v>0.12410313861783635</v>
      </c>
      <c r="AW56" s="6">
        <f t="shared" si="14"/>
        <v>2.9722421866206911E-3</v>
      </c>
      <c r="AX56" s="6">
        <f t="shared" si="14"/>
        <v>-0.11651257420314817</v>
      </c>
      <c r="AY56" s="6">
        <f t="shared" si="14"/>
        <v>-8.796213750659837E-2</v>
      </c>
      <c r="AZ56" s="4">
        <f t="shared" si="4"/>
        <v>19.481818206800487</v>
      </c>
      <c r="BA56" s="4">
        <v>1.9583999999999999</v>
      </c>
      <c r="BB56" s="5">
        <f t="shared" si="5"/>
        <v>8.727322379084546</v>
      </c>
      <c r="BC56" s="24">
        <v>8.8345605044699109</v>
      </c>
    </row>
    <row r="57" spans="1:55" x14ac:dyDescent="0.3">
      <c r="A57" s="25">
        <v>2.0583999999999998</v>
      </c>
      <c r="B57" s="6">
        <f t="shared" si="2"/>
        <v>9.2028438832378985</v>
      </c>
      <c r="C57" s="6">
        <f t="shared" si="13"/>
        <v>-11.874090899227067</v>
      </c>
      <c r="D57" s="6">
        <f t="shared" si="13"/>
        <v>-7.9171892506063477</v>
      </c>
      <c r="E57" s="6">
        <f t="shared" si="13"/>
        <v>-0.36597975552546425</v>
      </c>
      <c r="F57" s="6">
        <f t="shared" si="13"/>
        <v>2.9085926256129699</v>
      </c>
      <c r="G57" s="6">
        <f t="shared" si="13"/>
        <v>1.891821602875253</v>
      </c>
      <c r="H57" s="6">
        <f t="shared" si="13"/>
        <v>-0.39874176841315057</v>
      </c>
      <c r="I57" s="6">
        <f t="shared" si="13"/>
        <v>-1.4026547121529167</v>
      </c>
      <c r="J57" s="6">
        <f t="shared" si="13"/>
        <v>-0.70492321016257464</v>
      </c>
      <c r="K57" s="6">
        <f t="shared" si="13"/>
        <v>0.46413061325654048</v>
      </c>
      <c r="L57" s="6">
        <f t="shared" si="13"/>
        <v>0.84701597198163892</v>
      </c>
      <c r="M57" s="6">
        <f t="shared" si="13"/>
        <v>0.28653211396282258</v>
      </c>
      <c r="N57" s="6">
        <f t="shared" si="13"/>
        <v>-0.43492507188966295</v>
      </c>
      <c r="O57" s="6">
        <f t="shared" si="13"/>
        <v>-0.56531573952577197</v>
      </c>
      <c r="P57" s="6">
        <f t="shared" si="13"/>
        <v>-9.4557293376280549E-2</v>
      </c>
      <c r="Q57" s="6">
        <f t="shared" si="13"/>
        <v>0.3905788206251341</v>
      </c>
      <c r="R57" s="6">
        <f t="shared" si="13"/>
        <v>0.39603278291187594</v>
      </c>
      <c r="S57" s="6">
        <f t="shared" si="13"/>
        <v>-7.2304979511050305E-3</v>
      </c>
      <c r="T57" s="6">
        <f t="shared" si="13"/>
        <v>-0.3465938115722868</v>
      </c>
      <c r="U57" s="6">
        <f t="shared" si="13"/>
        <v>-0.28307448839398486</v>
      </c>
      <c r="V57" s="6">
        <f t="shared" si="13"/>
        <v>6.5883022235834698E-2</v>
      </c>
      <c r="W57" s="6">
        <f t="shared" si="13"/>
        <v>0.3061606344981504</v>
      </c>
      <c r="X57" s="6">
        <f t="shared" si="13"/>
        <v>0.20226816631626948</v>
      </c>
      <c r="Y57" s="6">
        <f t="shared" si="13"/>
        <v>-0.10115571983574691</v>
      </c>
      <c r="Z57" s="6">
        <f t="shared" si="3"/>
        <v>-0.26958591808791671</v>
      </c>
      <c r="AA57" s="6">
        <f t="shared" si="14"/>
        <v>-0.14160997356208252</v>
      </c>
      <c r="AB57" s="6">
        <f t="shared" si="14"/>
        <v>0.12253344774654429</v>
      </c>
      <c r="AC57" s="6">
        <f t="shared" si="14"/>
        <v>0.23649669498416664</v>
      </c>
      <c r="AD57" s="6">
        <f t="shared" si="14"/>
        <v>9.4507023155100164E-2</v>
      </c>
      <c r="AE57" s="6">
        <f t="shared" si="14"/>
        <v>-0.13504472837145221</v>
      </c>
      <c r="AF57" s="6">
        <f t="shared" si="14"/>
        <v>-0.20642028319090669</v>
      </c>
      <c r="AG57" s="6">
        <f t="shared" si="14"/>
        <v>-5.7053676318047052E-2</v>
      </c>
      <c r="AH57" s="6">
        <f t="shared" si="14"/>
        <v>0.14157076011908035</v>
      </c>
      <c r="AI57" s="6">
        <f t="shared" si="14"/>
        <v>0.17893578022604384</v>
      </c>
      <c r="AJ57" s="6">
        <f t="shared" si="14"/>
        <v>2.6794732158714862E-2</v>
      </c>
      <c r="AK57" s="6">
        <f t="shared" si="14"/>
        <v>-0.14387121602063835</v>
      </c>
      <c r="AL57" s="6">
        <f t="shared" si="14"/>
        <v>-0.15370320942506252</v>
      </c>
      <c r="AM57" s="6">
        <f t="shared" si="14"/>
        <v>-2.1102500608330271E-3</v>
      </c>
      <c r="AN57" s="6">
        <f t="shared" si="14"/>
        <v>0.14308132844174892</v>
      </c>
      <c r="AO57" s="6">
        <f t="shared" si="14"/>
        <v>0.13045798984430595</v>
      </c>
      <c r="AP57" s="6">
        <f t="shared" si="14"/>
        <v>-1.8113262391126907E-2</v>
      </c>
      <c r="AQ57" s="6">
        <f t="shared" si="14"/>
        <v>-0.13997005946429386</v>
      </c>
      <c r="AR57" s="6">
        <f t="shared" si="14"/>
        <v>-0.10899735172495112</v>
      </c>
      <c r="AS57" s="6">
        <f t="shared" si="14"/>
        <v>3.4669147157086938E-2</v>
      </c>
      <c r="AT57" s="6">
        <f t="shared" si="14"/>
        <v>0.13508197960706325</v>
      </c>
      <c r="AU57" s="6">
        <f t="shared" si="14"/>
        <v>8.9166728307256776E-2</v>
      </c>
      <c r="AV57" s="6">
        <f t="shared" si="14"/>
        <v>-4.8141347800477428E-2</v>
      </c>
      <c r="AW57" s="6">
        <f t="shared" si="14"/>
        <v>-0.12881896566565201</v>
      </c>
      <c r="AX57" s="6">
        <f t="shared" si="14"/>
        <v>-7.0848233252103446E-2</v>
      </c>
      <c r="AY57" s="6">
        <f t="shared" si="14"/>
        <v>5.8972950639604005E-2</v>
      </c>
      <c r="AZ57" s="4">
        <f t="shared" si="4"/>
        <v>19.481818206800487</v>
      </c>
      <c r="BA57" s="4">
        <v>2.0583999999999998</v>
      </c>
      <c r="BB57" s="5">
        <f t="shared" si="5"/>
        <v>11.715226312733687</v>
      </c>
      <c r="BC57" s="24">
        <v>11.777058485551503</v>
      </c>
    </row>
    <row r="58" spans="1:55" x14ac:dyDescent="0.3">
      <c r="A58" s="25">
        <v>2.1583999999999999</v>
      </c>
      <c r="B58" s="6">
        <f t="shared" si="2"/>
        <v>12.167856603797745</v>
      </c>
      <c r="C58" s="6">
        <f t="shared" si="13"/>
        <v>-9.2187926666103479</v>
      </c>
      <c r="D58" s="6">
        <f t="shared" si="13"/>
        <v>-8.4117217537107116</v>
      </c>
      <c r="E58" s="6">
        <f t="shared" si="13"/>
        <v>-2.2706188842671922</v>
      </c>
      <c r="F58" s="6">
        <f t="shared" si="13"/>
        <v>1.798205111427106</v>
      </c>
      <c r="G58" s="6">
        <f t="shared" si="13"/>
        <v>2.3738149945441784</v>
      </c>
      <c r="H58" s="6">
        <f t="shared" si="13"/>
        <v>0.83078047440437586</v>
      </c>
      <c r="I58" s="6">
        <f t="shared" si="13"/>
        <v>-0.76407519128014956</v>
      </c>
      <c r="J58" s="6">
        <f t="shared" si="13"/>
        <v>-1.1744754838654294</v>
      </c>
      <c r="K58" s="6">
        <f t="shared" si="13"/>
        <v>-0.48302087498438645</v>
      </c>
      <c r="L58" s="6">
        <f t="shared" si="13"/>
        <v>0.42007055843496355</v>
      </c>
      <c r="M58" s="6">
        <f t="shared" si="13"/>
        <v>0.74008398935453246</v>
      </c>
      <c r="N58" s="6">
        <f t="shared" si="13"/>
        <v>0.35625994223744434</v>
      </c>
      <c r="O58" s="6">
        <f t="shared" si="13"/>
        <v>-0.25303890874313162</v>
      </c>
      <c r="P58" s="6">
        <f t="shared" si="13"/>
        <v>-0.52838784902489455</v>
      </c>
      <c r="Q58" s="6">
        <f t="shared" si="13"/>
        <v>-0.29894156515926629</v>
      </c>
      <c r="R58" s="6">
        <f t="shared" si="13"/>
        <v>0.15233453029059585</v>
      </c>
      <c r="S58" s="6">
        <f t="shared" si="13"/>
        <v>0.4034336201972728</v>
      </c>
      <c r="T58" s="6">
        <f t="shared" si="13"/>
        <v>0.2683240082624499</v>
      </c>
      <c r="U58" s="6">
        <f t="shared" ref="C58:Y68" si="15">SUM(((((8*(POWER(PI(),2))*(POWER(U$4,2)))-48)*(POWER((-1),U$4))/(POWER(U$4,4)))*COS(U$4*$A58))+(((6*POWER((-1),U$4))/U$4)*SIN(U$4*$A58)))</f>
        <v>-8.2892997557165199E-2</v>
      </c>
      <c r="V58" s="6">
        <f t="shared" si="15"/>
        <v>-0.31858934300470171</v>
      </c>
      <c r="W58" s="6">
        <f t="shared" si="15"/>
        <v>-0.24873955239165821</v>
      </c>
      <c r="X58" s="6">
        <f t="shared" si="15"/>
        <v>3.0919353644189504E-2</v>
      </c>
      <c r="Y58" s="6">
        <f t="shared" si="15"/>
        <v>0.25459741166855715</v>
      </c>
      <c r="Z58" s="6">
        <f t="shared" si="3"/>
        <v>0.23344490279927391</v>
      </c>
      <c r="AA58" s="6">
        <f t="shared" si="14"/>
        <v>9.8016233542446707E-3</v>
      </c>
      <c r="AB58" s="6">
        <f t="shared" si="14"/>
        <v>-0.20252095017094937</v>
      </c>
      <c r="AC58" s="6">
        <f t="shared" si="14"/>
        <v>-0.21924775919693634</v>
      </c>
      <c r="AD58" s="6">
        <f t="shared" si="14"/>
        <v>-4.2337739249970009E-2</v>
      </c>
      <c r="AE58" s="6">
        <f t="shared" si="14"/>
        <v>0.15791048419899292</v>
      </c>
      <c r="AF58" s="6">
        <f t="shared" si="14"/>
        <v>0.2045818866932452</v>
      </c>
      <c r="AG58" s="6">
        <f t="shared" si="14"/>
        <v>6.8311538379077427E-2</v>
      </c>
      <c r="AH58" s="6">
        <f t="shared" si="14"/>
        <v>-0.11847834261894674</v>
      </c>
      <c r="AI58" s="6">
        <f t="shared" si="14"/>
        <v>-0.18871436854380363</v>
      </c>
      <c r="AJ58" s="6">
        <f t="shared" si="14"/>
        <v>-8.8641079681876581E-2</v>
      </c>
      <c r="AK58" s="6">
        <f t="shared" si="14"/>
        <v>8.3057250309108738E-2</v>
      </c>
      <c r="AL58" s="6">
        <f t="shared" si="14"/>
        <v>0.17138062572548285</v>
      </c>
      <c r="AM58" s="6">
        <f t="shared" si="14"/>
        <v>0.10389445902052777</v>
      </c>
      <c r="AN58" s="6">
        <f t="shared" si="14"/>
        <v>-5.1088375816810715E-2</v>
      </c>
      <c r="AO58" s="6">
        <f t="shared" si="14"/>
        <v>-0.15259906912168056</v>
      </c>
      <c r="AP58" s="6">
        <f t="shared" si="14"/>
        <v>-0.1144720936308995</v>
      </c>
      <c r="AQ58" s="6">
        <f t="shared" si="14"/>
        <v>2.2349185326805326E-2</v>
      </c>
      <c r="AR58" s="6">
        <f t="shared" si="14"/>
        <v>0.13256765745403959</v>
      </c>
      <c r="AS58" s="6">
        <f t="shared" si="14"/>
        <v>0.12070521076473488</v>
      </c>
      <c r="AT58" s="6">
        <f t="shared" si="14"/>
        <v>3.2012484099213714E-3</v>
      </c>
      <c r="AU58" s="6">
        <f t="shared" si="14"/>
        <v>-0.1116003865785095</v>
      </c>
      <c r="AV58" s="6">
        <f t="shared" si="14"/>
        <v>-0.12291032470473649</v>
      </c>
      <c r="AW58" s="6">
        <f t="shared" si="14"/>
        <v>-2.5515299273551006E-2</v>
      </c>
      <c r="AX58" s="6">
        <f t="shared" si="14"/>
        <v>9.0084430496642443E-2</v>
      </c>
      <c r="AY58" s="6">
        <f t="shared" si="14"/>
        <v>0.12141892962988721</v>
      </c>
      <c r="AZ58" s="4">
        <f t="shared" si="4"/>
        <v>19.481818206800487</v>
      </c>
      <c r="BA58" s="4">
        <v>2.1583999999999999</v>
      </c>
      <c r="BB58" s="5">
        <f t="shared" si="5"/>
        <v>15.30978737843818</v>
      </c>
      <c r="BC58" s="24">
        <v>15.228197733833108</v>
      </c>
    </row>
    <row r="59" spans="1:55" x14ac:dyDescent="0.3">
      <c r="A59" s="25">
        <v>2.2584</v>
      </c>
      <c r="B59" s="6">
        <f t="shared" si="2"/>
        <v>15.011292123331074</v>
      </c>
      <c r="C59" s="6">
        <f t="shared" si="15"/>
        <v>-6.1959702619584069</v>
      </c>
      <c r="D59" s="6">
        <f t="shared" si="15"/>
        <v>-8.1548602047766039</v>
      </c>
      <c r="E59" s="6">
        <f t="shared" si="15"/>
        <v>-3.8167772175642583</v>
      </c>
      <c r="F59" s="6">
        <f t="shared" si="15"/>
        <v>0.24755427136815877</v>
      </c>
      <c r="G59" s="6">
        <f t="shared" si="15"/>
        <v>2.0265665135326145</v>
      </c>
      <c r="H59" s="6">
        <f t="shared" si="15"/>
        <v>1.6695736788065281</v>
      </c>
      <c r="I59" s="6">
        <f t="shared" si="15"/>
        <v>0.33798208773171934</v>
      </c>
      <c r="J59" s="6">
        <f t="shared" si="15"/>
        <v>-0.75520812635794721</v>
      </c>
      <c r="K59" s="6">
        <f t="shared" si="15"/>
        <v>-0.98608519832955832</v>
      </c>
      <c r="L59" s="6">
        <f t="shared" si="15"/>
        <v>-0.46593121991928566</v>
      </c>
      <c r="M59" s="6">
        <f t="shared" si="15"/>
        <v>0.24981823105046949</v>
      </c>
      <c r="N59" s="6">
        <f t="shared" si="15"/>
        <v>0.62552330635842091</v>
      </c>
      <c r="O59" s="6">
        <f t="shared" si="15"/>
        <v>0.47929913880244268</v>
      </c>
      <c r="P59" s="6">
        <f t="shared" si="15"/>
        <v>1.980393770580513E-2</v>
      </c>
      <c r="Q59" s="6">
        <f t="shared" si="15"/>
        <v>-0.37312091882783299</v>
      </c>
      <c r="R59" s="6">
        <f t="shared" si="15"/>
        <v>-0.43528771394995303</v>
      </c>
      <c r="S59" s="6">
        <f t="shared" si="15"/>
        <v>-0.1760914292057697</v>
      </c>
      <c r="T59" s="6">
        <f t="shared" si="15"/>
        <v>0.17310110675179327</v>
      </c>
      <c r="U59" s="6">
        <f t="shared" si="15"/>
        <v>0.35206580580463498</v>
      </c>
      <c r="V59" s="6">
        <f t="shared" si="15"/>
        <v>0.25579415533006911</v>
      </c>
      <c r="W59" s="6">
        <f t="shared" si="15"/>
        <v>-1.3393625521980562E-2</v>
      </c>
      <c r="X59" s="6">
        <f t="shared" si="15"/>
        <v>-0.24346981416945979</v>
      </c>
      <c r="Y59" s="6">
        <f t="shared" si="15"/>
        <v>-0.27432134287917598</v>
      </c>
      <c r="Z59" s="6">
        <f t="shared" si="3"/>
        <v>-0.10445986883131067</v>
      </c>
      <c r="AA59" s="6">
        <f t="shared" si="14"/>
        <v>0.12481217192805952</v>
      </c>
      <c r="AB59" s="6">
        <f t="shared" si="14"/>
        <v>0.24365365070221759</v>
      </c>
      <c r="AC59" s="6">
        <f t="shared" si="14"/>
        <v>0.1766635787296254</v>
      </c>
      <c r="AD59" s="6">
        <f t="shared" si="14"/>
        <v>-1.2290675917633206E-2</v>
      </c>
      <c r="AE59" s="6">
        <f t="shared" si="14"/>
        <v>-0.17761566061164019</v>
      </c>
      <c r="AF59" s="6">
        <f t="shared" si="14"/>
        <v>-0.20238962501798688</v>
      </c>
      <c r="AG59" s="6">
        <f t="shared" si="14"/>
        <v>-7.9336427462624454E-2</v>
      </c>
      <c r="AH59" s="6">
        <f t="shared" si="14"/>
        <v>9.2419172898002111E-2</v>
      </c>
      <c r="AI59" s="6">
        <f t="shared" si="14"/>
        <v>0.1859616406178029</v>
      </c>
      <c r="AJ59" s="6">
        <f t="shared" si="14"/>
        <v>0.13922233151482447</v>
      </c>
      <c r="AK59" s="6">
        <f t="shared" si="14"/>
        <v>-5.0933604838914043E-3</v>
      </c>
      <c r="AL59" s="6">
        <f t="shared" si="14"/>
        <v>-0.13699261879960017</v>
      </c>
      <c r="AM59" s="6">
        <f t="shared" si="14"/>
        <v>-0.16224407500327093</v>
      </c>
      <c r="AN59" s="6">
        <f t="shared" si="14"/>
        <v>-6.8907923692669085E-2</v>
      </c>
      <c r="AO59" s="6">
        <f t="shared" si="14"/>
        <v>6.9032826317916518E-2</v>
      </c>
      <c r="AP59" s="6">
        <f t="shared" si="14"/>
        <v>0.14971586364880488</v>
      </c>
      <c r="AQ59" s="6">
        <f t="shared" si="14"/>
        <v>0.1180561995550638</v>
      </c>
      <c r="AR59" s="6">
        <f t="shared" si="14"/>
        <v>2.7313370206301507E-3</v>
      </c>
      <c r="AS59" s="6">
        <f t="shared" si="14"/>
        <v>-0.10886250484843893</v>
      </c>
      <c r="AT59" s="6">
        <f t="shared" si="14"/>
        <v>-0.13643159904255456</v>
      </c>
      <c r="AU59" s="6">
        <f t="shared" si="14"/>
        <v>-6.4134197583839411E-2</v>
      </c>
      <c r="AV59" s="6">
        <f t="shared" si="14"/>
        <v>5.1186737098238205E-2</v>
      </c>
      <c r="AW59" s="6">
        <f t="shared" si="14"/>
        <v>0.12435384016847373</v>
      </c>
      <c r="AX59" s="6">
        <f t="shared" si="14"/>
        <v>0.10445195441212715</v>
      </c>
      <c r="AY59" s="6">
        <f t="shared" si="14"/>
        <v>9.9109672312367204E-3</v>
      </c>
      <c r="AZ59" s="4">
        <f t="shared" si="4"/>
        <v>19.481818206800487</v>
      </c>
      <c r="BA59" s="4">
        <v>2.2584</v>
      </c>
      <c r="BB59" s="5">
        <f t="shared" si="5"/>
        <v>19.373089224461548</v>
      </c>
      <c r="BC59" s="24">
        <v>19.238579849314711</v>
      </c>
    </row>
    <row r="60" spans="1:55" x14ac:dyDescent="0.3">
      <c r="A60" s="25">
        <v>2.3584000000000098</v>
      </c>
      <c r="B60" s="6">
        <f t="shared" si="2"/>
        <v>17.704739774041791</v>
      </c>
      <c r="C60" s="6">
        <f t="shared" si="15"/>
        <v>-2.9261340754766798</v>
      </c>
      <c r="D60" s="6">
        <f t="shared" si="15"/>
        <v>-7.1695492809719639</v>
      </c>
      <c r="E60" s="6">
        <f t="shared" si="15"/>
        <v>-4.7603503515274674</v>
      </c>
      <c r="F60" s="6">
        <f t="shared" si="15"/>
        <v>-1.3637064880789094</v>
      </c>
      <c r="G60" s="6">
        <f t="shared" si="15"/>
        <v>0.97138004465930106</v>
      </c>
      <c r="H60" s="6">
        <f t="shared" si="15"/>
        <v>1.7231402942575746</v>
      </c>
      <c r="I60" s="6">
        <f t="shared" si="15"/>
        <v>1.2350239676039083</v>
      </c>
      <c r="J60" s="6">
        <f t="shared" si="15"/>
        <v>0.2355856849393072</v>
      </c>
      <c r="K60" s="6">
        <f t="shared" si="15"/>
        <v>-0.58254733789533852</v>
      </c>
      <c r="L60" s="6">
        <f t="shared" si="15"/>
        <v>-0.84275974684790622</v>
      </c>
      <c r="M60" s="6">
        <f t="shared" si="15"/>
        <v>-0.55903684289302302</v>
      </c>
      <c r="N60" s="6">
        <f t="shared" si="15"/>
        <v>-2.1606438781015647E-2</v>
      </c>
      <c r="O60" s="6">
        <f t="shared" si="15"/>
        <v>0.41596911917666796</v>
      </c>
      <c r="P60" s="6">
        <f t="shared" si="15"/>
        <v>0.53118959929551757</v>
      </c>
      <c r="Q60" s="6">
        <f t="shared" si="15"/>
        <v>0.32073147034010557</v>
      </c>
      <c r="R60" s="6">
        <f t="shared" si="15"/>
        <v>-4.0165679536647403E-2</v>
      </c>
      <c r="S60" s="6">
        <f t="shared" si="15"/>
        <v>-0.32341693705112695</v>
      </c>
      <c r="T60" s="6">
        <f t="shared" si="15"/>
        <v>-0.38024757191322023</v>
      </c>
      <c r="U60" s="6">
        <f t="shared" si="15"/>
        <v>-0.21012914512693154</v>
      </c>
      <c r="V60" s="6">
        <f t="shared" si="15"/>
        <v>6.031597720904025E-2</v>
      </c>
      <c r="W60" s="6">
        <f t="shared" si="15"/>
        <v>0.26450387955918869</v>
      </c>
      <c r="X60" s="6">
        <f t="shared" si="15"/>
        <v>0.29351684452895616</v>
      </c>
      <c r="Y60" s="6">
        <f t="shared" si="15"/>
        <v>0.14996825688737919</v>
      </c>
      <c r="Z60" s="6">
        <f t="shared" si="3"/>
        <v>-6.6070188809061972E-2</v>
      </c>
      <c r="AA60" s="6">
        <f t="shared" si="14"/>
        <v>-0.22370191617162574</v>
      </c>
      <c r="AB60" s="6">
        <f t="shared" si="14"/>
        <v>-0.23804000563033006</v>
      </c>
      <c r="AC60" s="6">
        <f t="shared" si="14"/>
        <v>-0.11366498212617905</v>
      </c>
      <c r="AD60" s="6">
        <f t="shared" si="14"/>
        <v>6.6205203524775103E-2</v>
      </c>
      <c r="AE60" s="6">
        <f t="shared" si="14"/>
        <v>0.19376585836948718</v>
      </c>
      <c r="AF60" s="6">
        <f t="shared" si="14"/>
        <v>0.19984729011897245</v>
      </c>
      <c r="AG60" s="6">
        <f t="shared" si="14"/>
        <v>9.0090743753294081E-2</v>
      </c>
      <c r="AH60" s="6">
        <f t="shared" si="14"/>
        <v>-6.4045784557966362E-2</v>
      </c>
      <c r="AI60" s="6">
        <f t="shared" si="14"/>
        <v>-0.17086038753297553</v>
      </c>
      <c r="AJ60" s="6">
        <f t="shared" si="14"/>
        <v>-0.17211028705269185</v>
      </c>
      <c r="AK60" s="6">
        <f t="shared" si="14"/>
        <v>-7.3922222546457042E-2</v>
      </c>
      <c r="AL60" s="6">
        <f t="shared" si="14"/>
        <v>6.0986262970525076E-2</v>
      </c>
      <c r="AM60" s="6">
        <f t="shared" si="14"/>
        <v>0.15276519053346324</v>
      </c>
      <c r="AN60" s="6">
        <f t="shared" si="14"/>
        <v>0.1511333514645655</v>
      </c>
      <c r="AO60" s="6">
        <f t="shared" si="14"/>
        <v>6.2353336015954684E-2</v>
      </c>
      <c r="AP60" s="6">
        <f t="shared" si="14"/>
        <v>-5.764843357152874E-2</v>
      </c>
      <c r="AQ60" s="6">
        <f t="shared" si="14"/>
        <v>-0.13810584404323517</v>
      </c>
      <c r="AR60" s="6">
        <f t="shared" si="14"/>
        <v>-0.13475709268714336</v>
      </c>
      <c r="AS60" s="6">
        <f t="shared" si="14"/>
        <v>-5.3791158668572293E-2</v>
      </c>
      <c r="AT60" s="6">
        <f t="shared" si="14"/>
        <v>5.4317167565612084E-2</v>
      </c>
      <c r="AU60" s="6">
        <f t="shared" si="14"/>
        <v>0.12598601122244596</v>
      </c>
      <c r="AV60" s="6">
        <f t="shared" si="14"/>
        <v>0.12164205418541367</v>
      </c>
      <c r="AW60" s="6">
        <f t="shared" si="14"/>
        <v>4.7276968476674439E-2</v>
      </c>
      <c r="AX60" s="6">
        <f t="shared" si="14"/>
        <v>-5.112126748013588E-2</v>
      </c>
      <c r="AY60" s="6">
        <f t="shared" si="14"/>
        <v>-0.11579619638013197</v>
      </c>
      <c r="AZ60" s="4">
        <f t="shared" si="4"/>
        <v>19.481818206800487</v>
      </c>
      <c r="BA60" s="4">
        <v>2.3584000000000098</v>
      </c>
      <c r="BB60" s="5">
        <f t="shared" si="5"/>
        <v>23.860966894142145</v>
      </c>
      <c r="BC60" s="24">
        <v>23.861206431996798</v>
      </c>
    </row>
    <row r="61" spans="1:55" x14ac:dyDescent="0.3">
      <c r="A61" s="25">
        <v>2.4584000000000001</v>
      </c>
      <c r="B61" s="6">
        <f t="shared" si="2"/>
        <v>20.221287517338645</v>
      </c>
      <c r="C61" s="6">
        <f t="shared" si="15"/>
        <v>0.46035784264361457</v>
      </c>
      <c r="D61" s="6">
        <f t="shared" si="15"/>
        <v>-5.5438038726171746</v>
      </c>
      <c r="E61" s="6">
        <f t="shared" si="15"/>
        <v>-4.9523688355953803</v>
      </c>
      <c r="F61" s="6">
        <f t="shared" si="15"/>
        <v>-2.6410843383175235</v>
      </c>
      <c r="G61" s="6">
        <f t="shared" si="15"/>
        <v>-0.42313742059265824</v>
      </c>
      <c r="H61" s="6">
        <f t="shared" si="15"/>
        <v>0.96628710450952959</v>
      </c>
      <c r="I61" s="6">
        <f t="shared" si="15"/>
        <v>1.3829168811365986</v>
      </c>
      <c r="J61" s="6">
        <f t="shared" si="15"/>
        <v>1.0480929466381135</v>
      </c>
      <c r="K61" s="6">
        <f t="shared" si="15"/>
        <v>0.35658185844508022</v>
      </c>
      <c r="L61" s="6">
        <f t="shared" si="15"/>
        <v>-0.29861388500834485</v>
      </c>
      <c r="M61" s="6">
        <f t="shared" si="15"/>
        <v>-0.65496090117131733</v>
      </c>
      <c r="N61" s="6">
        <f t="shared" si="15"/>
        <v>-0.63708270048771831</v>
      </c>
      <c r="O61" s="6">
        <f t="shared" si="15"/>
        <v>-0.33789697336004759</v>
      </c>
      <c r="P61" s="6">
        <f t="shared" si="15"/>
        <v>5.5345793912497387E-2</v>
      </c>
      <c r="Q61" s="6">
        <f t="shared" si="15"/>
        <v>0.35439050738599337</v>
      </c>
      <c r="R61" s="6">
        <f t="shared" si="15"/>
        <v>0.44563796728584298</v>
      </c>
      <c r="S61" s="6">
        <f t="shared" si="15"/>
        <v>0.32305344032026706</v>
      </c>
      <c r="T61" s="6">
        <f t="shared" si="15"/>
        <v>7.2759038897649508E-2</v>
      </c>
      <c r="U61" s="6">
        <f t="shared" si="15"/>
        <v>-0.1771766477828251</v>
      </c>
      <c r="V61" s="6">
        <f t="shared" si="15"/>
        <v>-0.31669472760837369</v>
      </c>
      <c r="W61" s="6">
        <f t="shared" si="15"/>
        <v>-0.29792803175597815</v>
      </c>
      <c r="X61" s="6">
        <f t="shared" si="15"/>
        <v>-0.14765665653324589</v>
      </c>
      <c r="Y61" s="6">
        <f t="shared" si="15"/>
        <v>5.3150042560401067E-2</v>
      </c>
      <c r="Z61" s="6">
        <f t="shared" si="3"/>
        <v>0.21032328871613343</v>
      </c>
      <c r="AA61" s="6">
        <f t="shared" si="14"/>
        <v>0.25856314022109428</v>
      </c>
      <c r="AB61" s="6">
        <f t="shared" si="14"/>
        <v>0.18675702484968298</v>
      </c>
      <c r="AC61" s="6">
        <f t="shared" si="14"/>
        <v>3.7531792292246853E-2</v>
      </c>
      <c r="AD61" s="6">
        <f t="shared" si="14"/>
        <v>-0.11627428995803132</v>
      </c>
      <c r="AE61" s="6">
        <f t="shared" si="14"/>
        <v>-0.2060378311546921</v>
      </c>
      <c r="AF61" s="6">
        <f t="shared" si="14"/>
        <v>-0.19695927947142769</v>
      </c>
      <c r="AG61" s="6">
        <f t="shared" si="14"/>
        <v>-0.10053781021001668</v>
      </c>
      <c r="AH61" s="6">
        <f t="shared" si="14"/>
        <v>3.4068660299981277E-2</v>
      </c>
      <c r="AI61" s="6">
        <f t="shared" si="14"/>
        <v>0.14441338708286372</v>
      </c>
      <c r="AJ61" s="6">
        <f t="shared" si="14"/>
        <v>0.18312532700919926</v>
      </c>
      <c r="AK61" s="6">
        <f t="shared" si="14"/>
        <v>0.13767411092911297</v>
      </c>
      <c r="AL61" s="6">
        <f t="shared" si="14"/>
        <v>3.3547715681100154E-2</v>
      </c>
      <c r="AM61" s="6">
        <f t="shared" si="14"/>
        <v>-7.9420591429615273E-2</v>
      </c>
      <c r="AN61" s="6">
        <f t="shared" si="14"/>
        <v>-0.15051724044762207</v>
      </c>
      <c r="AO61" s="6">
        <f t="shared" si="14"/>
        <v>-0.15054654697062991</v>
      </c>
      <c r="AP61" s="6">
        <f t="shared" si="14"/>
        <v>-8.3440463454646202E-2</v>
      </c>
      <c r="AQ61" s="6">
        <f t="shared" si="14"/>
        <v>1.735956951013292E-2</v>
      </c>
      <c r="AR61" s="6">
        <f t="shared" si="14"/>
        <v>0.10528972534117309</v>
      </c>
      <c r="AS61" s="6">
        <f t="shared" si="14"/>
        <v>0.14192608719455643</v>
      </c>
      <c r="AT61" s="6">
        <f t="shared" si="14"/>
        <v>0.1135319375229132</v>
      </c>
      <c r="AU61" s="6">
        <f t="shared" si="14"/>
        <v>3.5874898549705506E-2</v>
      </c>
      <c r="AV61" s="6">
        <f t="shared" si="14"/>
        <v>-5.4200702042712531E-2</v>
      </c>
      <c r="AW61" s="6">
        <f t="shared" si="14"/>
        <v>-0.11608046680486753</v>
      </c>
      <c r="AX61" s="6">
        <f t="shared" si="14"/>
        <v>-0.12352145186335942</v>
      </c>
      <c r="AY61" s="6">
        <f t="shared" si="14"/>
        <v>-7.5604971498283283E-2</v>
      </c>
      <c r="AZ61" s="4">
        <f t="shared" si="4"/>
        <v>19.481818206800487</v>
      </c>
      <c r="BA61" s="4">
        <v>2.4584000000000001</v>
      </c>
      <c r="BB61" s="5">
        <f t="shared" si="5"/>
        <v>28.980119176938125</v>
      </c>
      <c r="BC61" s="24">
        <v>29.15147908187793</v>
      </c>
    </row>
    <row r="62" spans="1:55" x14ac:dyDescent="0.3">
      <c r="A62" s="25">
        <v>2.5583999999999998</v>
      </c>
      <c r="B62" s="6">
        <f t="shared" si="2"/>
        <v>22.535790840031456</v>
      </c>
      <c r="C62" s="6">
        <f t="shared" si="15"/>
        <v>3.8284967463212016</v>
      </c>
      <c r="D62" s="6">
        <f t="shared" si="15"/>
        <v>-3.4228469751619786</v>
      </c>
      <c r="E62" s="6">
        <f t="shared" si="15"/>
        <v>-4.3625171732373769</v>
      </c>
      <c r="F62" s="6">
        <f t="shared" si="15"/>
        <v>-3.2718326314996986</v>
      </c>
      <c r="G62" s="6">
        <f t="shared" si="15"/>
        <v>-1.6698408110916951</v>
      </c>
      <c r="H62" s="6">
        <f t="shared" si="15"/>
        <v>-0.24502600914188322</v>
      </c>
      <c r="I62" s="6">
        <f t="shared" si="15"/>
        <v>0.69195097151080087</v>
      </c>
      <c r="J62" s="6">
        <f t="shared" si="15"/>
        <v>1.0674243616696448</v>
      </c>
      <c r="K62" s="6">
        <f t="shared" si="15"/>
        <v>0.96787133859266061</v>
      </c>
      <c r="L62" s="6">
        <f t="shared" si="15"/>
        <v>0.57185954676069783</v>
      </c>
      <c r="M62" s="6">
        <f t="shared" si="15"/>
        <v>8.437652005605023E-2</v>
      </c>
      <c r="N62" s="6">
        <f t="shared" si="15"/>
        <v>-0.31923131345397404</v>
      </c>
      <c r="O62" s="6">
        <f t="shared" si="15"/>
        <v>-0.53083188549001714</v>
      </c>
      <c r="P62" s="6">
        <f t="shared" si="15"/>
        <v>-0.52335958612461941</v>
      </c>
      <c r="Q62" s="6">
        <f t="shared" si="15"/>
        <v>-0.34142753738761189</v>
      </c>
      <c r="R62" s="6">
        <f t="shared" si="15"/>
        <v>-7.4670317530936253E-2</v>
      </c>
      <c r="S62" s="6">
        <f t="shared" si="15"/>
        <v>0.17662010037402937</v>
      </c>
      <c r="T62" s="6">
        <f t="shared" si="15"/>
        <v>0.33320309557196015</v>
      </c>
      <c r="U62" s="6">
        <f t="shared" si="15"/>
        <v>0.35759214809657514</v>
      </c>
      <c r="V62" s="6">
        <f t="shared" si="15"/>
        <v>0.25944822195169148</v>
      </c>
      <c r="W62" s="6">
        <f t="shared" si="15"/>
        <v>8.6158079540930257E-2</v>
      </c>
      <c r="X62" s="6">
        <f t="shared" si="15"/>
        <v>-9.6756665268039332E-2</v>
      </c>
      <c r="Y62" s="6">
        <f t="shared" si="15"/>
        <v>-0.22835327161690411</v>
      </c>
      <c r="Z62" s="6">
        <f t="shared" si="3"/>
        <v>-0.27092813110240405</v>
      </c>
      <c r="AA62" s="6">
        <f t="shared" si="14"/>
        <v>-0.21941777761076897</v>
      </c>
      <c r="AB62" s="6">
        <f t="shared" si="14"/>
        <v>-9.9643641354857454E-2</v>
      </c>
      <c r="AC62" s="6">
        <f t="shared" si="14"/>
        <v>4.2938395759941586E-2</v>
      </c>
      <c r="AD62" s="6">
        <f t="shared" si="14"/>
        <v>0.15958973893860579</v>
      </c>
      <c r="AE62" s="6">
        <f t="shared" si="14"/>
        <v>0.21418595534843421</v>
      </c>
      <c r="AF62" s="6">
        <f t="shared" si="14"/>
        <v>0.19373058846584928</v>
      </c>
      <c r="AG62" s="6">
        <f t="shared" si="14"/>
        <v>0.11064199765176833</v>
      </c>
      <c r="AH62" s="6">
        <f t="shared" si="14"/>
        <v>-3.2384411102334559E-3</v>
      </c>
      <c r="AI62" s="6">
        <f t="shared" si="14"/>
        <v>-0.10837681569897999</v>
      </c>
      <c r="AJ62" s="6">
        <f t="shared" si="14"/>
        <v>-0.17086758712748656</v>
      </c>
      <c r="AK62" s="6">
        <f t="shared" si="14"/>
        <v>-0.17299861282760412</v>
      </c>
      <c r="AL62" s="6">
        <f t="shared" si="14"/>
        <v>-0.11788990043648598</v>
      </c>
      <c r="AM62" s="6">
        <f t="shared" si="14"/>
        <v>-2.7126943569540578E-2</v>
      </c>
      <c r="AN62" s="6">
        <f t="shared" si="14"/>
        <v>6.7397302895435829E-2</v>
      </c>
      <c r="AO62" s="6">
        <f t="shared" si="14"/>
        <v>0.13445424412489604</v>
      </c>
      <c r="AP62" s="6">
        <f t="shared" si="14"/>
        <v>0.15357558657871356</v>
      </c>
      <c r="AQ62" s="6">
        <f t="shared" si="14"/>
        <v>0.12108441043094034</v>
      </c>
      <c r="AR62" s="6">
        <f t="shared" si="14"/>
        <v>5.0357023196577456E-2</v>
      </c>
      <c r="AS62" s="6">
        <f t="shared" si="14"/>
        <v>-3.3445944736107111E-2</v>
      </c>
      <c r="AT62" s="6">
        <f t="shared" si="14"/>
        <v>-0.10218127862780538</v>
      </c>
      <c r="AU62" s="6">
        <f t="shared" si="14"/>
        <v>-0.1340329322742452</v>
      </c>
      <c r="AV62" s="6">
        <f t="shared" si="14"/>
        <v>-0.12029910567126925</v>
      </c>
      <c r="AW62" s="6">
        <f t="shared" si="14"/>
        <v>-6.7590814161821999E-2</v>
      </c>
      <c r="AX62" s="6">
        <f t="shared" si="14"/>
        <v>5.0447101570888497E-3</v>
      </c>
      <c r="AY62" s="6">
        <f t="shared" si="14"/>
        <v>7.2903653485978992E-2</v>
      </c>
      <c r="AZ62" s="4">
        <f t="shared" si="4"/>
        <v>19.481818206800487</v>
      </c>
      <c r="BA62" s="4">
        <v>2.5583999999999998</v>
      </c>
      <c r="BB62" s="5">
        <f t="shared" si="5"/>
        <v>35.033781680998075</v>
      </c>
      <c r="BC62" s="24">
        <v>35.167199398959504</v>
      </c>
    </row>
    <row r="63" spans="1:55" x14ac:dyDescent="0.3">
      <c r="A63" s="25">
        <v>2.6584000000000101</v>
      </c>
      <c r="B63" s="6">
        <f t="shared" si="2"/>
        <v>24.625123989992925</v>
      </c>
      <c r="C63" s="6">
        <f t="shared" si="15"/>
        <v>7.0440055662434133</v>
      </c>
      <c r="D63" s="6">
        <f t="shared" si="15"/>
        <v>-0.99613735151345062</v>
      </c>
      <c r="E63" s="6">
        <f t="shared" si="15"/>
        <v>-3.0839199722778057</v>
      </c>
      <c r="F63" s="6">
        <f t="shared" si="15"/>
        <v>-3.101522187338472</v>
      </c>
      <c r="G63" s="6">
        <f t="shared" si="15"/>
        <v>-2.333220764654655</v>
      </c>
      <c r="H63" s="6">
        <f t="shared" si="15"/>
        <v>-1.3410995620569504</v>
      </c>
      <c r="I63" s="6">
        <f t="shared" si="15"/>
        <v>-0.41874311235498407</v>
      </c>
      <c r="J63" s="6">
        <f t="shared" si="15"/>
        <v>0.2789503005393858</v>
      </c>
      <c r="K63" s="6">
        <f t="shared" si="15"/>
        <v>0.68930437360544605</v>
      </c>
      <c r="L63" s="6">
        <f t="shared" si="15"/>
        <v>0.81740042983000372</v>
      </c>
      <c r="M63" s="6">
        <f t="shared" si="15"/>
        <v>0.71610987384747482</v>
      </c>
      <c r="N63" s="6">
        <f t="shared" si="15"/>
        <v>0.46629469566932569</v>
      </c>
      <c r="O63" s="6">
        <f t="shared" si="15"/>
        <v>0.15744901548595433</v>
      </c>
      <c r="P63" s="6">
        <f t="shared" si="15"/>
        <v>-0.12938777908926605</v>
      </c>
      <c r="Q63" s="6">
        <f t="shared" si="15"/>
        <v>-0.33445146540148996</v>
      </c>
      <c r="R63" s="6">
        <f t="shared" si="15"/>
        <v>-0.42639624868350096</v>
      </c>
      <c r="S63" s="6">
        <f t="shared" si="15"/>
        <v>-0.40331035386004654</v>
      </c>
      <c r="T63" s="6">
        <f t="shared" si="15"/>
        <v>-0.28820120778777153</v>
      </c>
      <c r="U63" s="6">
        <f t="shared" si="15"/>
        <v>-0.12044503462621653</v>
      </c>
      <c r="V63" s="6">
        <f t="shared" si="15"/>
        <v>5.4731879212961687E-2</v>
      </c>
      <c r="W63" s="6">
        <f t="shared" si="15"/>
        <v>0.1965197796150972</v>
      </c>
      <c r="X63" s="6">
        <f t="shared" si="15"/>
        <v>0.27658994846740131</v>
      </c>
      <c r="Y63" s="6">
        <f t="shared" si="15"/>
        <v>0.28362249226677988</v>
      </c>
      <c r="Z63" s="6">
        <f t="shared" si="3"/>
        <v>0.22378139629341182</v>
      </c>
      <c r="AA63" s="6">
        <f t="shared" si="14"/>
        <v>0.11747011162672011</v>
      </c>
      <c r="AB63" s="6">
        <f t="shared" si="14"/>
        <v>-6.5869442934786138E-3</v>
      </c>
      <c r="AC63" s="6">
        <f t="shared" si="14"/>
        <v>-0.11844682380716721</v>
      </c>
      <c r="AD63" s="6">
        <f t="shared" si="14"/>
        <v>-0.19363563023499256</v>
      </c>
      <c r="AE63" s="6">
        <f t="shared" si="14"/>
        <v>-0.21804714618959897</v>
      </c>
      <c r="AF63" s="6">
        <f t="shared" si="14"/>
        <v>-0.19016680176731696</v>
      </c>
      <c r="AG63" s="6">
        <f t="shared" si="14"/>
        <v>-0.12036884626855042</v>
      </c>
      <c r="AH63" s="6">
        <f t="shared" si="14"/>
        <v>-2.7672870135253887E-2</v>
      </c>
      <c r="AI63" s="6">
        <f t="shared" si="14"/>
        <v>6.5143631987656075E-2</v>
      </c>
      <c r="AJ63" s="6">
        <f t="shared" si="14"/>
        <v>0.13689486220431268</v>
      </c>
      <c r="AK63" s="6">
        <f t="shared" si="14"/>
        <v>0.17260181320544676</v>
      </c>
      <c r="AL63" s="6">
        <f t="shared" si="14"/>
        <v>0.16641714091595933</v>
      </c>
      <c r="AM63" s="6">
        <f t="shared" si="14"/>
        <v>0.12233366440252477</v>
      </c>
      <c r="AN63" s="6">
        <f t="shared" si="14"/>
        <v>5.2665481672167551E-2</v>
      </c>
      <c r="AO63" s="6">
        <f t="shared" si="14"/>
        <v>-2.5223770969859137E-2</v>
      </c>
      <c r="AP63" s="6">
        <f t="shared" si="14"/>
        <v>-9.3117386081980655E-2</v>
      </c>
      <c r="AQ63" s="6">
        <f t="shared" si="14"/>
        <v>-0.1360854545289622</v>
      </c>
      <c r="AR63" s="6">
        <f t="shared" si="14"/>
        <v>-0.14565583175237948</v>
      </c>
      <c r="AS63" s="6">
        <f t="shared" si="14"/>
        <v>-0.12136801082481485</v>
      </c>
      <c r="AT63" s="6">
        <f t="shared" si="14"/>
        <v>-7.0453168892553236E-2</v>
      </c>
      <c r="AU63" s="6">
        <f t="shared" si="14"/>
        <v>-5.8106344556243736E-3</v>
      </c>
      <c r="AV63" s="6">
        <f t="shared" si="14"/>
        <v>5.7181392312753675E-2</v>
      </c>
      <c r="AW63" s="6">
        <f t="shared" si="14"/>
        <v>0.10425221174682248</v>
      </c>
      <c r="AX63" s="6">
        <f t="shared" si="14"/>
        <v>0.12540325355224732</v>
      </c>
      <c r="AY63" s="6">
        <f t="shared" si="14"/>
        <v>0.11696499085047618</v>
      </c>
      <c r="AZ63" s="4">
        <f t="shared" si="4"/>
        <v>19.481818206800487</v>
      </c>
      <c r="BA63" s="4">
        <v>2.6584000000000101</v>
      </c>
      <c r="BB63" s="5">
        <f t="shared" si="5"/>
        <v>42.099556142500013</v>
      </c>
      <c r="BC63" s="24">
        <v>41.968568983241845</v>
      </c>
    </row>
    <row r="64" spans="1:55" x14ac:dyDescent="0.3">
      <c r="A64" s="25">
        <v>2.7584000000000102</v>
      </c>
      <c r="B64" s="6">
        <f t="shared" si="2"/>
        <v>26.46841104102991</v>
      </c>
      <c r="C64" s="6">
        <f t="shared" si="15"/>
        <v>9.9786921128841382</v>
      </c>
      <c r="D64" s="6">
        <f t="shared" si="15"/>
        <v>1.5195542549982601</v>
      </c>
      <c r="E64" s="6">
        <f t="shared" si="15"/>
        <v>-1.3184396169458124</v>
      </c>
      <c r="F64" s="6">
        <f t="shared" si="15"/>
        <v>-2.1718509423489341</v>
      </c>
      <c r="G64" s="6">
        <f t="shared" si="15"/>
        <v>-2.1815395779407596</v>
      </c>
      <c r="H64" s="6">
        <f t="shared" si="15"/>
        <v>-1.8064330356778058</v>
      </c>
      <c r="I64" s="6">
        <f t="shared" si="15"/>
        <v>-1.2754332432519604</v>
      </c>
      <c r="J64" s="6">
        <f t="shared" si="15"/>
        <v>-0.72062778673483741</v>
      </c>
      <c r="K64" s="6">
        <f t="shared" si="15"/>
        <v>-0.22300585358464947</v>
      </c>
      <c r="L64" s="6">
        <f t="shared" si="15"/>
        <v>0.16967978248421017</v>
      </c>
      <c r="M64" s="6">
        <f t="shared" si="15"/>
        <v>0.43459941163574917</v>
      </c>
      <c r="N64" s="6">
        <f t="shared" si="15"/>
        <v>0.56869788322470549</v>
      </c>
      <c r="O64" s="6">
        <f t="shared" si="15"/>
        <v>0.58435420411918848</v>
      </c>
      <c r="P64" s="6">
        <f t="shared" si="15"/>
        <v>0.50505452727908673</v>
      </c>
      <c r="Q64" s="6">
        <f t="shared" si="15"/>
        <v>0.36095918343304817</v>
      </c>
      <c r="R64" s="6">
        <f t="shared" si="15"/>
        <v>0.18454793559328253</v>
      </c>
      <c r="S64" s="6">
        <f t="shared" si="15"/>
        <v>6.6458140428654056E-3</v>
      </c>
      <c r="T64" s="6">
        <f t="shared" si="15"/>
        <v>-0.1468582083014261</v>
      </c>
      <c r="U64" s="6">
        <f t="shared" si="15"/>
        <v>-0.25734650782155966</v>
      </c>
      <c r="V64" s="6">
        <f t="shared" si="15"/>
        <v>-0.31471057398792468</v>
      </c>
      <c r="W64" s="6">
        <f t="shared" si="15"/>
        <v>-0.31746229927351655</v>
      </c>
      <c r="X64" s="6">
        <f t="shared" si="15"/>
        <v>-0.27181383551373173</v>
      </c>
      <c r="Y64" s="6">
        <f t="shared" si="15"/>
        <v>-0.18992961515047579</v>
      </c>
      <c r="Z64" s="6">
        <f t="shared" si="3"/>
        <v>-8.7633942734889086E-2</v>
      </c>
      <c r="AA64" s="6">
        <f t="shared" si="14"/>
        <v>1.8100142590944113E-2</v>
      </c>
      <c r="AB64" s="6">
        <f t="shared" si="14"/>
        <v>0.1115537870284263</v>
      </c>
      <c r="AC64" s="6">
        <f t="shared" si="14"/>
        <v>0.18026809138483665</v>
      </c>
      <c r="AD64" s="6">
        <f t="shared" si="14"/>
        <v>0.21643445354254887</v>
      </c>
      <c r="AE64" s="6">
        <f t="shared" si="14"/>
        <v>0.21754412191726588</v>
      </c>
      <c r="AF64" s="6">
        <f t="shared" si="14"/>
        <v>0.18627408365567966</v>
      </c>
      <c r="AG64" s="6">
        <f t="shared" si="14"/>
        <v>0.12968518314484739</v>
      </c>
      <c r="AH64" s="6">
        <f t="shared" si="14"/>
        <v>5.7891239977923538E-2</v>
      </c>
      <c r="AI64" s="6">
        <f t="shared" si="14"/>
        <v>-1.7584675628527606E-2</v>
      </c>
      <c r="AJ64" s="6">
        <f t="shared" si="14"/>
        <v>-8.5524631206498239E-2</v>
      </c>
      <c r="AK64" s="6">
        <f t="shared" si="14"/>
        <v>-0.13656564450541905</v>
      </c>
      <c r="AL64" s="6">
        <f t="shared" si="14"/>
        <v>-0.16438686453942833</v>
      </c>
      <c r="AM64" s="6">
        <f t="shared" si="14"/>
        <v>-0.16639701367553678</v>
      </c>
      <c r="AN64" s="6">
        <f t="shared" si="14"/>
        <v>-0.14386045181955032</v>
      </c>
      <c r="AO64" s="6">
        <f t="shared" si="14"/>
        <v>-0.10147953014771438</v>
      </c>
      <c r="AP64" s="6">
        <f t="shared" si="14"/>
        <v>-4.6523379861704899E-2</v>
      </c>
      <c r="AQ64" s="6">
        <f t="shared" si="14"/>
        <v>1.2350322988804334E-2</v>
      </c>
      <c r="AR64" s="6">
        <f t="shared" si="14"/>
        <v>6.6400450353308771E-2</v>
      </c>
      <c r="AS64" s="6">
        <f t="shared" si="14"/>
        <v>0.10804670291676936</v>
      </c>
      <c r="AT64" s="6">
        <f t="shared" si="14"/>
        <v>0.13188374274603623</v>
      </c>
      <c r="AU64" s="6">
        <f t="shared" si="14"/>
        <v>0.13533628694882349</v>
      </c>
      <c r="AV64" s="6">
        <f t="shared" si="14"/>
        <v>0.11888230361989288</v>
      </c>
      <c r="AW64" s="6">
        <f t="shared" si="14"/>
        <v>8.5834739260198203E-2</v>
      </c>
      <c r="AX64" s="6">
        <f t="shared" si="14"/>
        <v>4.1733805749634853E-2</v>
      </c>
      <c r="AY64" s="6">
        <f t="shared" si="14"/>
        <v>-6.5465636312629603E-3</v>
      </c>
      <c r="AZ64" s="4">
        <f t="shared" si="4"/>
        <v>19.481818206800487</v>
      </c>
      <c r="BA64" s="4">
        <v>2.7584000000000102</v>
      </c>
      <c r="BB64" s="5">
        <f t="shared" si="5"/>
        <v>49.929280021066965</v>
      </c>
      <c r="BC64" s="24">
        <v>49.618189434723533</v>
      </c>
    </row>
    <row r="65" spans="1:55" x14ac:dyDescent="0.3">
      <c r="A65" s="25">
        <v>2.8584000000000098</v>
      </c>
      <c r="B65" s="6">
        <f t="shared" si="2"/>
        <v>28.047234478238362</v>
      </c>
      <c r="C65" s="6">
        <f t="shared" si="15"/>
        <v>12.515559694568067</v>
      </c>
      <c r="D65" s="6">
        <f t="shared" si="15"/>
        <v>3.8995086055252712</v>
      </c>
      <c r="E65" s="6">
        <f t="shared" si="15"/>
        <v>0.65519336404401196</v>
      </c>
      <c r="F65" s="6">
        <f t="shared" si="15"/>
        <v>-0.71043484072272878</v>
      </c>
      <c r="G65" s="6">
        <f t="shared" si="15"/>
        <v>-1.2677838533644232</v>
      </c>
      <c r="H65" s="6">
        <f t="shared" si="15"/>
        <v>-1.4221728263245934</v>
      </c>
      <c r="I65" s="6">
        <f t="shared" si="15"/>
        <v>-1.3584626834411289</v>
      </c>
      <c r="J65" s="6">
        <f t="shared" si="15"/>
        <v>-1.1748491318337901</v>
      </c>
      <c r="K65" s="6">
        <f t="shared" si="15"/>
        <v>-0.93028552743320259</v>
      </c>
      <c r="L65" s="6">
        <f t="shared" si="15"/>
        <v>-0.66346824739165544</v>
      </c>
      <c r="M65" s="6">
        <f t="shared" si="15"/>
        <v>-0.4011489400530448</v>
      </c>
      <c r="N65" s="6">
        <f t="shared" si="15"/>
        <v>-0.16204266046154037</v>
      </c>
      <c r="O65" s="6">
        <f t="shared" si="15"/>
        <v>4.1193013545812729E-2</v>
      </c>
      <c r="P65" s="6">
        <f t="shared" si="15"/>
        <v>0.20084006698792381</v>
      </c>
      <c r="Q65" s="6">
        <f t="shared" si="15"/>
        <v>0.31337179394847503</v>
      </c>
      <c r="R65" s="6">
        <f t="shared" si="15"/>
        <v>0.3788402778139025</v>
      </c>
      <c r="S65" s="6">
        <f t="shared" si="15"/>
        <v>0.40029046811708707</v>
      </c>
      <c r="T65" s="6">
        <f t="shared" si="15"/>
        <v>0.38315666089200917</v>
      </c>
      <c r="U65" s="6">
        <f t="shared" si="15"/>
        <v>0.3346329048790086</v>
      </c>
      <c r="V65" s="6">
        <f t="shared" si="15"/>
        <v>0.26302893549541562</v>
      </c>
      <c r="W65" s="6">
        <f t="shared" si="15"/>
        <v>0.17713405600273319</v>
      </c>
      <c r="X65" s="6">
        <f t="shared" si="15"/>
        <v>8.5616133242393005E-2</v>
      </c>
      <c r="Y65" s="6">
        <f t="shared" si="15"/>
        <v>-3.5166830525259624E-3</v>
      </c>
      <c r="Z65" s="6">
        <f t="shared" si="3"/>
        <v>-8.336664883888785E-2</v>
      </c>
      <c r="AA65" s="6">
        <f t="shared" si="14"/>
        <v>-0.14848972886782855</v>
      </c>
      <c r="AB65" s="6">
        <f t="shared" si="14"/>
        <v>-0.19511839808433262</v>
      </c>
      <c r="AC65" s="6">
        <f t="shared" si="14"/>
        <v>-0.22125842221782124</v>
      </c>
      <c r="AD65" s="6">
        <f t="shared" si="14"/>
        <v>-0.22666196953866333</v>
      </c>
      <c r="AE65" s="6">
        <f t="shared" si="14"/>
        <v>-0.21268695056565179</v>
      </c>
      <c r="AF65" s="6">
        <f t="shared" si="14"/>
        <v>-0.18205916736335154</v>
      </c>
      <c r="AG65" s="6">
        <f t="shared" si="14"/>
        <v>-0.13855923539442128</v>
      </c>
      <c r="AH65" s="6">
        <f t="shared" si="14"/>
        <v>-8.6659986531021305E-2</v>
      </c>
      <c r="AI65" s="6">
        <f t="shared" si="14"/>
        <v>-3.1141966758140287E-2</v>
      </c>
      <c r="AJ65" s="6">
        <f t="shared" si="14"/>
        <v>2.328536343849872E-2</v>
      </c>
      <c r="AK65" s="6">
        <f t="shared" si="14"/>
        <v>7.2330968979217258E-2</v>
      </c>
      <c r="AL65" s="6">
        <f t="shared" si="14"/>
        <v>0.1124158691413695</v>
      </c>
      <c r="AM65" s="6">
        <f t="shared" si="14"/>
        <v>0.14089566595013786</v>
      </c>
      <c r="AN65" s="6">
        <f t="shared" si="14"/>
        <v>0.1562004168731114</v>
      </c>
      <c r="AO65" s="6">
        <f t="shared" si="14"/>
        <v>0.15788666602843929</v>
      </c>
      <c r="AP65" s="6">
        <f t="shared" si="14"/>
        <v>0.14660289171832191</v>
      </c>
      <c r="AQ65" s="6">
        <f t="shared" si="14"/>
        <v>0.1239756955443328</v>
      </c>
      <c r="AR65" s="6">
        <f t="shared" si="14"/>
        <v>9.242934069769021E-2</v>
      </c>
      <c r="AS65" s="6">
        <f t="shared" si="14"/>
        <v>5.4955404226581323E-2</v>
      </c>
      <c r="AT65" s="6">
        <f t="shared" si="14"/>
        <v>1.4852090924403268E-2</v>
      </c>
      <c r="AU65" s="6">
        <f t="shared" si="14"/>
        <v>-2.4545978679013536E-2</v>
      </c>
      <c r="AV65" s="6">
        <f t="shared" si="14"/>
        <v>-6.0126978015233062E-2</v>
      </c>
      <c r="AW65" s="6">
        <f t="shared" si="14"/>
        <v>-8.9231306888709713E-2</v>
      </c>
      <c r="AX65" s="6">
        <f t="shared" si="14"/>
        <v>-0.10983551156147688</v>
      </c>
      <c r="AY65" s="6">
        <f t="shared" si="14"/>
        <v>-0.12067901594431243</v>
      </c>
      <c r="AZ65" s="4">
        <f t="shared" si="4"/>
        <v>19.481818206800487</v>
      </c>
      <c r="BA65" s="4">
        <v>2.8584000000000098</v>
      </c>
      <c r="BB65" s="5">
        <f t="shared" si="5"/>
        <v>58.248662374295563</v>
      </c>
      <c r="BC65" s="24">
        <v>58.181062353405203</v>
      </c>
    </row>
    <row r="66" spans="1:55" x14ac:dyDescent="0.3">
      <c r="A66" s="25">
        <v>2.9584000000000001</v>
      </c>
      <c r="B66" s="6">
        <f t="shared" si="2"/>
        <v>29.345819219723239</v>
      </c>
      <c r="C66" s="6">
        <f t="shared" si="15"/>
        <v>14.553471406361904</v>
      </c>
      <c r="D66" s="6">
        <f t="shared" si="15"/>
        <v>5.9311314660367742</v>
      </c>
      <c r="E66" s="6">
        <f t="shared" si="15"/>
        <v>2.5253857192465961</v>
      </c>
      <c r="F66" s="6">
        <f t="shared" si="15"/>
        <v>0.92492048719352371</v>
      </c>
      <c r="G66" s="6">
        <f t="shared" si="15"/>
        <v>8.8845245562446218E-2</v>
      </c>
      <c r="H66" s="6">
        <f t="shared" si="15"/>
        <v>-0.36904251468764515</v>
      </c>
      <c r="I66" s="6">
        <f t="shared" si="15"/>
        <v>-0.61746688865051924</v>
      </c>
      <c r="J66" s="6">
        <f t="shared" si="15"/>
        <v>-0.73996807638928308</v>
      </c>
      <c r="K66" s="6">
        <f t="shared" si="15"/>
        <v>-0.78226497759124758</v>
      </c>
      <c r="L66" s="6">
        <f t="shared" si="15"/>
        <v>-0.77157302989601095</v>
      </c>
      <c r="M66" s="6">
        <f t="shared" si="15"/>
        <v>-0.72531826989240744</v>
      </c>
      <c r="N66" s="6">
        <f t="shared" si="15"/>
        <v>-0.65539032694605215</v>
      </c>
      <c r="O66" s="6">
        <f t="shared" si="15"/>
        <v>-0.57035128647950439</v>
      </c>
      <c r="P66" s="6">
        <f t="shared" si="15"/>
        <v>-0.47664079863609266</v>
      </c>
      <c r="Q66" s="6">
        <f t="shared" si="15"/>
        <v>-0.37925979680498623</v>
      </c>
      <c r="R66" s="6">
        <f t="shared" si="15"/>
        <v>-0.28217090362063957</v>
      </c>
      <c r="S66" s="6">
        <f t="shared" si="15"/>
        <v>-0.18853947972655771</v>
      </c>
      <c r="T66" s="6">
        <f t="shared" si="15"/>
        <v>-0.1008828935797897</v>
      </c>
      <c r="U66" s="6">
        <f t="shared" si="15"/>
        <v>-2.1166341718330289E-2</v>
      </c>
      <c r="V66" s="6">
        <f t="shared" si="15"/>
        <v>4.9132307024178146E-2</v>
      </c>
      <c r="W66" s="6">
        <f t="shared" si="15"/>
        <v>0.10897511955042244</v>
      </c>
      <c r="X66" s="6">
        <f t="shared" si="15"/>
        <v>0.15772588228558038</v>
      </c>
      <c r="Y66" s="6">
        <f t="shared" si="15"/>
        <v>0.19511597511548909</v>
      </c>
      <c r="Z66" s="6">
        <f t="shared" si="3"/>
        <v>0.22121125966856334</v>
      </c>
      <c r="AA66" s="6">
        <f t="shared" si="14"/>
        <v>0.23637821472437354</v>
      </c>
      <c r="AB66" s="6">
        <f t="shared" si="14"/>
        <v>0.24124842917766604</v>
      </c>
      <c r="AC66" s="6">
        <f t="shared" si="14"/>
        <v>0.23668116556462174</v>
      </c>
      <c r="AD66" s="6">
        <f t="shared" si="14"/>
        <v>0.22372412656234486</v>
      </c>
      <c r="AE66" s="6">
        <f t="shared" si="14"/>
        <v>0.2035728484523622</v>
      </c>
      <c r="AF66" s="6">
        <f t="shared" si="14"/>
        <v>0.17752934342870738</v>
      </c>
      <c r="AG66" s="6">
        <f t="shared" si="14"/>
        <v>0.14696073851984354</v>
      </c>
      <c r="AH66" s="6">
        <f t="shared" si="14"/>
        <v>0.11325872714194579</v>
      </c>
      <c r="AI66" s="6">
        <f t="shared" si="14"/>
        <v>7.780066997875075E-2</v>
      </c>
      <c r="AJ66" s="6">
        <f t="shared" si="14"/>
        <v>4.1913162590484818E-2</v>
      </c>
      <c r="AK66" s="6">
        <f t="shared" si="14"/>
        <v>6.8388341179238463E-3</v>
      </c>
      <c r="AL66" s="6">
        <f t="shared" si="14"/>
        <v>-2.6292939827728179E-2</v>
      </c>
      <c r="AM66" s="6">
        <f t="shared" si="14"/>
        <v>-5.6490831354999146E-2</v>
      </c>
      <c r="AN66" s="6">
        <f t="shared" si="14"/>
        <v>-8.2921405255944547E-2</v>
      </c>
      <c r="AO66" s="6">
        <f t="shared" si="14"/>
        <v>-0.10492369399015838</v>
      </c>
      <c r="AP66" s="6">
        <f t="shared" si="14"/>
        <v>-0.12201832571976498</v>
      </c>
      <c r="AQ66" s="6">
        <f t="shared" si="14"/>
        <v>-0.13391117563653165</v>
      </c>
      <c r="AR66" s="6">
        <f t="shared" si="14"/>
        <v>-0.14049165680839176</v>
      </c>
      <c r="AS66" s="6">
        <f t="shared" si="14"/>
        <v>-0.14182590712033419</v>
      </c>
      <c r="AT66" s="6">
        <f t="shared" si="14"/>
        <v>-0.13814525950528705</v>
      </c>
      <c r="AU66" s="6">
        <f t="shared" ref="AA66:AY68" si="16">SUM(((((8*(POWER(PI(),2))*(POWER(AU$4,2)))-48)*(POWER((-1),AU$4))/(POWER(AU$4,4)))*COS(AU$4*$A66))+(((6*POWER((-1),AU$4))/AU$4)*SIN(AU$4*$A66)))</f>
        <v>-0.12983049987891462</v>
      </c>
      <c r="AV66" s="6">
        <f t="shared" si="16"/>
        <v>-0.1173925178285208</v>
      </c>
      <c r="AW66" s="6">
        <f t="shared" si="16"/>
        <v>-0.10145003654762925</v>
      </c>
      <c r="AX66" s="6">
        <f t="shared" si="16"/>
        <v>-8.2705168765729697E-2</v>
      </c>
      <c r="AY66" s="6">
        <f t="shared" si="16"/>
        <v>-6.1917583173315471E-2</v>
      </c>
      <c r="AZ66" s="4">
        <f t="shared" si="4"/>
        <v>19.481818206800487</v>
      </c>
      <c r="BA66" s="4">
        <v>2.9584000000000001</v>
      </c>
      <c r="BB66" s="5">
        <f t="shared" si="5"/>
        <v>67.169105968795918</v>
      </c>
      <c r="BC66" s="24">
        <v>67.724589339285927</v>
      </c>
    </row>
    <row r="67" spans="1:55" x14ac:dyDescent="0.3">
      <c r="A67" s="25">
        <v>3.05840000000001</v>
      </c>
      <c r="B67" s="6">
        <f t="shared" si="2"/>
        <v>30.351190236002992</v>
      </c>
      <c r="C67" s="6">
        <f t="shared" si="15"/>
        <v>16.011182139319214</v>
      </c>
      <c r="D67" s="6">
        <f t="shared" si="15"/>
        <v>7.4329440170870313</v>
      </c>
      <c r="E67" s="6">
        <f t="shared" si="15"/>
        <v>3.9968751975762182</v>
      </c>
      <c r="F67" s="6">
        <f t="shared" si="15"/>
        <v>2.3338230221153644</v>
      </c>
      <c r="G67" s="6">
        <f t="shared" si="15"/>
        <v>1.4144381441208256</v>
      </c>
      <c r="H67" s="6">
        <f t="shared" si="15"/>
        <v>0.85765425805544848</v>
      </c>
      <c r="I67" s="6">
        <f t="shared" si="15"/>
        <v>0.49807603519619847</v>
      </c>
      <c r="J67" s="6">
        <f t="shared" si="15"/>
        <v>0.25490606686259565</v>
      </c>
      <c r="K67" s="6">
        <f t="shared" si="15"/>
        <v>8.4966385048385551E-2</v>
      </c>
      <c r="L67" s="6">
        <f t="shared" si="15"/>
        <v>-3.6496820123133711E-2</v>
      </c>
      <c r="M67" s="6">
        <f t="shared" si="15"/>
        <v>-0.12450045906517554</v>
      </c>
      <c r="N67" s="6">
        <f t="shared" si="15"/>
        <v>-0.18858962903836834</v>
      </c>
      <c r="O67" s="6">
        <f t="shared" si="15"/>
        <v>-0.23507497077061329</v>
      </c>
      <c r="P67" s="6">
        <f t="shared" si="15"/>
        <v>-0.26827253958028108</v>
      </c>
      <c r="Q67" s="6">
        <f t="shared" si="15"/>
        <v>-0.29122338415889237</v>
      </c>
      <c r="R67" s="6">
        <f t="shared" si="15"/>
        <v>-0.30612794305006064</v>
      </c>
      <c r="S67" s="6">
        <f t="shared" si="15"/>
        <v>-0.31461733866462033</v>
      </c>
      <c r="T67" s="6">
        <f t="shared" si="15"/>
        <v>-0.3179278869532694</v>
      </c>
      <c r="U67" s="6">
        <f t="shared" si="15"/>
        <v>-0.31701629258423347</v>
      </c>
      <c r="V67" s="6">
        <f t="shared" si="15"/>
        <v>-0.31263744311766745</v>
      </c>
      <c r="W67" s="6">
        <f t="shared" si="15"/>
        <v>-0.30539801521957388</v>
      </c>
      <c r="X67" s="6">
        <f t="shared" si="15"/>
        <v>-0.29579407984648765</v>
      </c>
      <c r="Y67" s="6">
        <f t="shared" si="15"/>
        <v>-0.28423790465112886</v>
      </c>
      <c r="Z67" s="6">
        <f t="shared" si="3"/>
        <v>-0.27107732790218031</v>
      </c>
      <c r="AA67" s="6">
        <f t="shared" si="16"/>
        <v>-0.25660993860961867</v>
      </c>
      <c r="AB67" s="6">
        <f t="shared" si="16"/>
        <v>-0.24109357016544933</v>
      </c>
      <c r="AC67" s="6">
        <f t="shared" si="16"/>
        <v>-0.2247541414031449</v>
      </c>
      <c r="AD67" s="6">
        <f t="shared" si="16"/>
        <v>-0.20779156531469706</v>
      </c>
      <c r="AE67" s="6">
        <f t="shared" si="16"/>
        <v>-0.19038423439322905</v>
      </c>
      <c r="AF67" s="6">
        <f t="shared" si="16"/>
        <v>-0.17269244708583364</v>
      </c>
      <c r="AG67" s="6">
        <f t="shared" si="16"/>
        <v>-0.15486103962826292</v>
      </c>
      <c r="AH67" s="6">
        <f t="shared" si="16"/>
        <v>-0.13702141710567844</v>
      </c>
      <c r="AI67" s="6">
        <f t="shared" si="16"/>
        <v>-0.11929312747582793</v>
      </c>
      <c r="AJ67" s="6">
        <f t="shared" si="16"/>
        <v>-0.10178508622534191</v>
      </c>
      <c r="AK67" s="6">
        <f t="shared" si="16"/>
        <v>-8.4596533085650599E-2</v>
      </c>
      <c r="AL67" s="6">
        <f t="shared" si="16"/>
        <v>-6.7817782938159835E-2</v>
      </c>
      <c r="AM67" s="6">
        <f t="shared" si="16"/>
        <v>-5.1530818708218115E-2</v>
      </c>
      <c r="AN67" s="6">
        <f t="shared" si="16"/>
        <v>-3.5809763303266906E-2</v>
      </c>
      <c r="AO67" s="6">
        <f t="shared" si="16"/>
        <v>-2.0721259520273025E-2</v>
      </c>
      <c r="AP67" s="6">
        <f t="shared" si="16"/>
        <v>-6.3247806391320202E-3</v>
      </c>
      <c r="AQ67" s="6">
        <f t="shared" si="16"/>
        <v>7.3271103641688456E-3</v>
      </c>
      <c r="AR67" s="6">
        <f t="shared" si="16"/>
        <v>2.0188538768190323E-2</v>
      </c>
      <c r="AS67" s="6">
        <f t="shared" si="16"/>
        <v>3.2220121918586059E-2</v>
      </c>
      <c r="AT67" s="6">
        <f t="shared" si="16"/>
        <v>4.338878990557838E-2</v>
      </c>
      <c r="AU67" s="6">
        <f t="shared" si="16"/>
        <v>5.3667615948342143E-2</v>
      </c>
      <c r="AV67" s="6">
        <f t="shared" si="16"/>
        <v>6.3035650808110993E-2</v>
      </c>
      <c r="AW67" s="6">
        <f t="shared" si="16"/>
        <v>7.1477756753076077E-2</v>
      </c>
      <c r="AX67" s="6">
        <f t="shared" si="16"/>
        <v>7.8984437581478176E-2</v>
      </c>
      <c r="AY67" s="6">
        <f t="shared" si="16"/>
        <v>8.5551662021195463E-2</v>
      </c>
      <c r="AZ67" s="4">
        <f t="shared" si="4"/>
        <v>19.481818206800487</v>
      </c>
      <c r="BA67" s="4">
        <v>3.05840000000001</v>
      </c>
      <c r="BB67" s="5">
        <f t="shared" si="5"/>
        <v>77.231635851926001</v>
      </c>
      <c r="BC67" s="24">
        <v>78.318571992368632</v>
      </c>
    </row>
    <row r="68" spans="1:55" ht="15" thickBot="1" x14ac:dyDescent="0.35">
      <c r="A68" s="26">
        <v>3.1415999999999999</v>
      </c>
      <c r="B68" s="27">
        <f t="shared" si="2"/>
        <v>30.956879286340737</v>
      </c>
      <c r="C68" s="27">
        <f t="shared" si="15"/>
        <v>16.739252878833135</v>
      </c>
      <c r="D68" s="27">
        <f t="shared" si="15"/>
        <v>8.1804331737391305</v>
      </c>
      <c r="E68" s="27">
        <f t="shared" si="15"/>
        <v>4.7473462769562271</v>
      </c>
      <c r="F68" s="27">
        <f t="shared" si="15"/>
        <v>3.0815174847309961</v>
      </c>
      <c r="G68" s="27">
        <f t="shared" si="15"/>
        <v>2.1562524617938297</v>
      </c>
      <c r="H68" s="27">
        <f t="shared" si="15"/>
        <v>1.5914163900708955</v>
      </c>
      <c r="I68" s="27">
        <f t="shared" si="15"/>
        <v>1.2220258764869831</v>
      </c>
      <c r="J68" s="27">
        <f t="shared" si="15"/>
        <v>0.96750386173078506</v>
      </c>
      <c r="K68" s="27">
        <f t="shared" si="15"/>
        <v>0.78481242843066257</v>
      </c>
      <c r="L68" s="27">
        <f t="shared" si="15"/>
        <v>0.64930143992670264</v>
      </c>
      <c r="M68" s="27">
        <f t="shared" si="15"/>
        <v>0.54604061714079788</v>
      </c>
      <c r="N68" s="27">
        <f t="shared" si="15"/>
        <v>0.46556367124988979</v>
      </c>
      <c r="O68" s="27">
        <f t="shared" si="15"/>
        <v>0.40163559291637141</v>
      </c>
      <c r="P68" s="27">
        <f t="shared" si="15"/>
        <v>0.35001519578240914</v>
      </c>
      <c r="Q68" s="27">
        <f t="shared" si="15"/>
        <v>0.3077367919946008</v>
      </c>
      <c r="R68" s="27">
        <f t="shared" si="15"/>
        <v>0.27267641281703198</v>
      </c>
      <c r="S68" s="27">
        <f t="shared" si="15"/>
        <v>0.24328076479300906</v>
      </c>
      <c r="T68" s="27">
        <f t="shared" si="15"/>
        <v>0.21839275007308925</v>
      </c>
      <c r="U68" s="27">
        <f t="shared" si="15"/>
        <v>0.19713616435546752</v>
      </c>
      <c r="V68" s="27">
        <f t="shared" si="15"/>
        <v>0.17883770824107367</v>
      </c>
      <c r="W68" s="27">
        <f t="shared" si="15"/>
        <v>0.16297312933927502</v>
      </c>
      <c r="X68" s="27">
        <f t="shared" si="15"/>
        <v>0.1491293276913252</v>
      </c>
      <c r="Y68" s="27">
        <f t="shared" si="15"/>
        <v>0.13697723931071262</v>
      </c>
      <c r="Z68" s="27">
        <f t="shared" si="3"/>
        <v>0.12625213266636703</v>
      </c>
      <c r="AA68" s="27">
        <f t="shared" si="16"/>
        <v>0.1167390900771533</v>
      </c>
      <c r="AB68" s="27">
        <f t="shared" si="16"/>
        <v>0.10826217178793968</v>
      </c>
      <c r="AC68" s="27">
        <f t="shared" si="16"/>
        <v>0.10067623286117448</v>
      </c>
      <c r="AD68" s="27">
        <f t="shared" si="16"/>
        <v>9.3860675972584059E-2</v>
      </c>
      <c r="AE68" s="27">
        <f t="shared" si="16"/>
        <v>8.7714633970996631E-2</v>
      </c>
      <c r="AF68" s="27">
        <f t="shared" si="16"/>
        <v>8.2153220179487702E-2</v>
      </c>
      <c r="AG68" s="27">
        <f t="shared" si="16"/>
        <v>7.7104584347782251E-2</v>
      </c>
      <c r="AH68" s="27">
        <f t="shared" si="16"/>
        <v>7.2507582367839052E-2</v>
      </c>
      <c r="AI68" s="27">
        <f t="shared" si="16"/>
        <v>6.8309917782269386E-2</v>
      </c>
      <c r="AJ68" s="27">
        <f t="shared" si="16"/>
        <v>6.4466649013005792E-2</v>
      </c>
      <c r="AK68" s="27">
        <f t="shared" si="16"/>
        <v>6.0938982327751107E-2</v>
      </c>
      <c r="AL68" s="27">
        <f t="shared" si="16"/>
        <v>5.7693289712740931E-2</v>
      </c>
      <c r="AM68" s="27">
        <f t="shared" si="16"/>
        <v>5.4700305009237678E-2</v>
      </c>
      <c r="AN68" s="27">
        <f t="shared" si="16"/>
        <v>5.1934462276484586E-2</v>
      </c>
      <c r="AO68" s="27">
        <f t="shared" si="16"/>
        <v>4.9373348336222721E-2</v>
      </c>
      <c r="AP68" s="27">
        <f t="shared" si="16"/>
        <v>4.6997247524534845E-2</v>
      </c>
      <c r="AQ68" s="27">
        <f t="shared" si="16"/>
        <v>4.4788761321771182E-2</v>
      </c>
      <c r="AR68" s="27">
        <f t="shared" si="16"/>
        <v>4.2732489110636172E-2</v>
      </c>
      <c r="AS68" s="27">
        <f t="shared" si="16"/>
        <v>4.0814759088914139E-2</v>
      </c>
      <c r="AT68" s="27">
        <f t="shared" si="16"/>
        <v>3.9023400530440892E-2</v>
      </c>
      <c r="AU68" s="27">
        <f t="shared" si="16"/>
        <v>3.734755029005947E-2</v>
      </c>
      <c r="AV68" s="27">
        <f t="shared" si="16"/>
        <v>3.5777487792260317E-2</v>
      </c>
      <c r="AW68" s="27">
        <f t="shared" si="16"/>
        <v>3.4304493810882374E-2</v>
      </c>
      <c r="AX68" s="27">
        <f t="shared" si="16"/>
        <v>3.2920729199233389E-2</v>
      </c>
      <c r="AY68" s="27">
        <f t="shared" si="16"/>
        <v>3.1619130413611481E-2</v>
      </c>
      <c r="AZ68" s="28">
        <f t="shared" si="4"/>
        <v>19.481818206800487</v>
      </c>
      <c r="BA68" s="28">
        <v>3.1415999999999999</v>
      </c>
      <c r="BB68" s="29">
        <f t="shared" si="5"/>
        <v>95.847968459317002</v>
      </c>
      <c r="BC68" s="30">
        <v>87.985202176508309</v>
      </c>
    </row>
    <row r="69" spans="1:55" s="2" customFormat="1" x14ac:dyDescent="0.3"/>
  </sheetData>
  <mergeCells count="1">
    <mergeCell ref="A2:I2"/>
  </mergeCell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Grafica original y comparacion</vt:lpstr>
      <vt:lpstr>Fourier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Hako 666</cp:lastModifiedBy>
  <dcterms:created xsi:type="dcterms:W3CDTF">2026-02-23T17:27:57Z</dcterms:created>
  <dcterms:modified xsi:type="dcterms:W3CDTF">2026-03-07T06:29:54Z</dcterms:modified>
</cp:coreProperties>
</file>